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HOME" sheetId="1" state="visible" r:id="rId3"/>
    <sheet name="1.1 AOP FY26" sheetId="2" state="visible" r:id="rId4"/>
    <sheet name="1.2 ZBB Opex" sheetId="3" state="visible" r:id="rId5"/>
    <sheet name="1.3 Scenario" sheetId="4" state="visible" r:id="rId6"/>
    <sheet name="1.4 Rolling Forecast" sheetId="5" state="visible" r:id="rId7"/>
    <sheet name="2.1 Assumptions" sheetId="6" state="visible" r:id="rId8"/>
    <sheet name="2.2 3-Statement" sheetId="7" state="visible" r:id="rId9"/>
    <sheet name="2.3 Working Capital &amp; CCC" sheetId="8" state="visible" r:id="rId10"/>
    <sheet name="2.4 ROIC &amp; EP" sheetId="9" state="visible" r:id="rId11"/>
    <sheet name="2.5 13-Week Cash" sheetId="10" state="visible" r:id="rId12"/>
    <sheet name="3.1 Contribution Margin" sheetId="11" state="visible" r:id="rId13"/>
    <sheet name="3.2 Portfolio" sheetId="12" state="visible" r:id="rId14"/>
    <sheet name="3.3 Mix Optimization" sheetId="13" state="visible" r:id="rId15"/>
    <sheet name="3.4 Pricing &amp; Elasticity" sheetId="14" state="visible" r:id="rId16"/>
    <sheet name="3.5 CFO Dashboard" sheetId="15" state="visible" r:id="rId17"/>
    <sheet name="3.6 Board Pack &amp; Commentary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<sst xmlns="http://schemas.openxmlformats.org/spreadsheetml/2006/main" count="577" uniqueCount="424">
  <si>
    <t xml:space="preserve">AVF — CFO FP&amp;A SUITE  ·  MASTER WORKBOOK</t>
  </si>
  <si>
    <t xml:space="preserve">End-to-end FP&amp;A suite on the AVF dataset · 3 phases · CFO framework</t>
  </si>
  <si>
    <t xml:space="preserve">Click "→ Open" to go to each sheet. Every sheet has a ⌂ button (cell A1) to return Home.</t>
  </si>
  <si>
    <t xml:space="preserve">#</t>
  </si>
  <si>
    <t xml:space="preserve">Sheet</t>
  </si>
  <si>
    <t xml:space="preserve">Content</t>
  </si>
  <si>
    <t xml:space="preserve">Open</t>
  </si>
  <si>
    <t xml:space="preserve">PHASE 1 — PLANNING &amp; FORECAST</t>
  </si>
  <si>
    <t xml:space="preserve">1.1 AOP FY26</t>
  </si>
  <si>
    <t xml:space="preserve">Driver-based annual plan (actual FY26 drivers), monthly P&amp;L, growth vs FY25.</t>
  </si>
  <si>
    <t xml:space="preserve">1.2 ZBB Opex</t>
  </si>
  <si>
    <t xml:space="preserve">Zero-based opex budget, 6 packages + challenge questions.</t>
  </si>
  <si>
    <t xml:space="preserve">1.3 Scenario</t>
  </si>
  <si>
    <t xml:space="preserve">Base/Upside/Downside switch → EBITDA range.</t>
  </si>
  <si>
    <t xml:space="preserve">1.4 Rolling Forecast</t>
  </si>
  <si>
    <t xml:space="preserve">Rolling run-rate × seasonality forecast vs AOP + R&amp;O log.</t>
  </si>
  <si>
    <t xml:space="preserve">PHASE 2 — CASH &amp; CAPITAL</t>
  </si>
  <si>
    <t xml:space="preserve">2.1 Assumptions</t>
  </si>
  <si>
    <t xml:space="preserve">Policies &amp; drivers: WC days, capex, debt, WACC, opening balance sheet.</t>
  </si>
  <si>
    <t xml:space="preserve">2.2 3-Statement</t>
  </si>
  <si>
    <t xml:space="preserve">P&amp;L→BS→CF over 4 years, anchored to actuals, BS check = 0.</t>
  </si>
  <si>
    <t xml:space="preserve">2.3 Working Capital &amp; CCC</t>
  </si>
  <si>
    <t xml:space="preserve">DSO/DIO/DPO, cash conversion cycle, NWC.</t>
  </si>
  <si>
    <t xml:space="preserve">2.4 ROIC &amp; EP</t>
  </si>
  <si>
    <t xml:space="preserve">NOPAT, invested capital, ROIC vs WACC, Economic Profit.</t>
  </si>
  <si>
    <t xml:space="preserve">2.5 13-Week Cash</t>
  </si>
  <si>
    <t xml:space="preserve">13-week cash forecast (Treasury).</t>
  </si>
  <si>
    <t xml:space="preserve">PHASE 3 — DECISION SUPPORT + BOARD PACK</t>
  </si>
  <si>
    <t xml:space="preserve">3.1 Contribution Margin</t>
  </si>
  <si>
    <t xml:space="preserve">CM/tonne &amp; CM% for 9 product×channel combos.</t>
  </si>
  <si>
    <t xml:space="preserve">3.2 Portfolio</t>
  </si>
  <si>
    <t xml:space="preserve">Growth × margin matrix → Grow/Hold/Selective/Exit.</t>
  </si>
  <si>
    <t xml:space="preserve">3.3 Mix Optimization</t>
  </si>
  <si>
    <t xml:space="preserve">Lever shifting volume to high-margin combos → ΔCM.</t>
  </si>
  <si>
    <t xml:space="preserve">3.4 Pricing &amp; Elasticity</t>
  </si>
  <si>
    <t xml:space="preserve">Simulates Δprice × elasticity → impact on revenue/CM.</t>
  </si>
  <si>
    <t xml:space="preserve">3.5 CFO Dashboard</t>
  </si>
  <si>
    <t xml:space="preserve">One-page KPIs + 4-year charts.</t>
  </si>
  <si>
    <t xml:space="preserve">3.6 Board Pack &amp; Commentary</t>
  </si>
  <si>
    <t xml:space="preserve">Board exhibit list + automated commentary.</t>
  </si>
  <si>
    <t xml:space="preserve">Source: AVF Dataset v1 (fictional teaching data). Decision figures are derived from actuals; 4-year and BS/CF figures are labelled extensions. Source data kept unchanged. Not financial advice.</t>
  </si>
  <si>
    <t xml:space="preserve">AVF — ANNUAL OPERATING PLAN (AOP) FY2026 — driver-based</t>
  </si>
  <si>
    <t xml:space="preserve">ACTUAL FY26 drivers from AVF Dataset v1 · volume in tonnes · ASP USD '000/tonne · amounts USD '000</t>
  </si>
  <si>
    <t xml:space="preserve">1.  FY26 REVENUE DRIVERS BY PRODUCT × CHANNEL  (yellow = AVF actual data)</t>
  </si>
  <si>
    <t xml:space="preserve">Product line</t>
  </si>
  <si>
    <t xml:space="preserve">Channel</t>
  </si>
  <si>
    <t xml:space="preserve">Volume FY26</t>
  </si>
  <si>
    <t xml:space="preserve">ASP FY26</t>
  </si>
  <si>
    <t xml:space="preserve">Revenue FY26</t>
  </si>
  <si>
    <t xml:space="preserve">Volume FY25 Actual</t>
  </si>
  <si>
    <t xml:space="preserve">ASP FY25 Actual</t>
  </si>
  <si>
    <t xml:space="preserve">Revenue growth %</t>
  </si>
  <si>
    <t xml:space="preserve">Snacks</t>
  </si>
  <si>
    <t xml:space="preserve">MT</t>
  </si>
  <si>
    <t xml:space="preserve">GT</t>
  </si>
  <si>
    <t xml:space="preserve">EC</t>
  </si>
  <si>
    <t xml:space="preserve">Beverages</t>
  </si>
  <si>
    <t xml:space="preserve">Culinary</t>
  </si>
  <si>
    <t xml:space="preserve">TOTAL</t>
  </si>
  <si>
    <t xml:space="preserve">2.  FY26 P&amp;L ASSUMPTIONS  (yellow)</t>
  </si>
  <si>
    <t xml:space="preserve">Revenue deductions (USD '000)</t>
  </si>
  <si>
    <t xml:space="preserve">COGS % of net revenue</t>
  </si>
  <si>
    <t xml:space="preserve">Opex (selling + G&amp;A) % of net revenue</t>
  </si>
  <si>
    <t xml:space="preserve">Finance income</t>
  </si>
  <si>
    <t xml:space="preserve">Finance costs</t>
  </si>
  <si>
    <t xml:space="preserve">D&amp;A</t>
  </si>
  <si>
    <t xml:space="preserve">Tax rate</t>
  </si>
  <si>
    <t xml:space="preserve">3.  FY26 MONTHLY P&amp;L PLAN (seasonalised)</t>
  </si>
  <si>
    <t xml:space="preserve">Line item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</si>
  <si>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</si>
  <si>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</si>
  <si>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</si>
  <si>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</si>
  <si>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</si>
  <si>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</si>
  <si>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</si>
  <si>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</si>
  <si>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</si>
  <si>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T10</t>
  </si>
  <si>
    <t xml:space="preserve">T11</t>
  </si>
  <si>
    <t xml:space="preserve">T12</t>
  </si>
  <si>
    <t xml:space="preserve">FY26</t>
  </si>
  <si>
    <t xml:space="preserve">Volume (tonnes)</t>
  </si>
  <si>
    <t xml:space="preserve">ASP (USD '000/tonne)</t>
  </si>
  <si>
    <t xml:space="preserve">Revenue</t>
  </si>
  <si>
    <t xml:space="preserve">Revenue deductions</t>
  </si>
  <si>
    <t xml:space="preserve">Net revenue</t>
  </si>
  <si>
    <t xml:space="preserve">COGS</t>
  </si>
  <si>
    <t xml:space="preserve">Gross profit</t>
  </si>
  <si>
    <t xml:space="preserve">Operating expenses</t>
  </si>
  <si>
    <t xml:space="preserve">Operating EBITDA</t>
  </si>
  <si>
    <t xml:space="preserve">EBITDA margin %</t>
  </si>
  <si>
    <t xml:space="preserve">4.  EBITDA BRIDGE &amp; GROWTH vs FY25 ACTUAL</t>
  </si>
  <si>
    <t xml:space="preserve">FY26 operating EBITDA</t>
  </si>
  <si>
    <t xml:space="preserve">+ Finance income − Finance costs + D&amp;A</t>
  </si>
  <si>
    <t xml:space="preserve">EBITDA FY26</t>
  </si>
  <si>
    <t xml:space="preserve">FY25 actual EBITDA</t>
  </si>
  <si>
    <t xml:space="preserve">EBITDA growth %</t>
  </si>
  <si>
    <t xml:space="preserve">FY25 actual net revenue</t>
  </si>
  <si>
    <t xml:space="preserve">Net revenue growth %</t>
  </si>
  <si>
    <t xml:space="preserve">Note: the FY26 AOP uses AVF's ACTUAL FY26 volume/ASP drivers (ties to planned FY26 gross sales of 2,756,766). Monthly costs are seasonalised and modelled as ratios (the dataset only holds an annual P&amp;L) — the monthly block is for planning &amp; tracking.</t>
  </si>
  <si>
    <t xml:space="preserve">AVF — ZERO-BASED BUDGETING (ZBB) OF OPERATING EXPENSES FY26</t>
  </si>
  <si>
    <t xml:space="preserve">Breaks the 22% opex into cost packages with rationale &amp; drivers. PINK = labelled assumptions (the dataset only holds the total %).</t>
  </si>
  <si>
    <t xml:space="preserve">COST PACKAGE — ZBB</t>
  </si>
  <si>
    <t xml:space="preserve">Cost package</t>
  </si>
  <si>
    <t xml:space="preserve">% of net revenue</t>
  </si>
  <si>
    <t xml:space="preserve">FY26 amount</t>
  </si>
  <si>
    <t xml:space="preserve">Driver</t>
  </si>
  <si>
    <t xml:space="preserve">ZBB challenge question</t>
  </si>
  <si>
    <t xml:space="preserve">Sales headcount &amp; KPI bonus</t>
  </si>
  <si>
    <t xml:space="preserve">Headcount × salary × sales-linked bonus</t>
  </si>
  <si>
    <t xml:space="preserve">Can fixed bonus shift to variable, margin-linked?</t>
  </si>
  <si>
    <t xml:space="preserve">A&amp;P / Trade marketing</t>
  </si>
  <si>
    <t xml:space="preserve">% of revenue by channel; campaign ROI</t>
  </si>
  <si>
    <t xml:space="preserve">Cut campaigns with ROI&lt;1; shift budget to EC?</t>
  </si>
  <si>
    <t xml:space="preserve">Logistics &amp; freight</t>
  </si>
  <si>
    <t xml:space="preserve">Trips × distance × tonnes</t>
  </si>
  <si>
    <t xml:space="preserve">Consolidate routes, optimise loads, outsource?</t>
  </si>
  <si>
    <t xml:space="preserve">Rent — premises &amp; warehouses</t>
  </si>
  <si>
    <t xml:space="preserve">m² × regional rate</t>
  </si>
  <si>
    <t xml:space="preserve">Close low-utilisation warehouses, move to 3PL?</t>
  </si>
  <si>
    <t xml:space="preserve">IT / software / ERP</t>
  </si>
  <si>
    <t xml:space="preserve">Licences × subscription fee</t>
  </si>
  <si>
    <t xml:space="preserve">Review unused licences; renegotiate contracts?</t>
  </si>
  <si>
    <t xml:space="preserve">General admin &amp; other</t>
  </si>
  <si>
    <t xml:space="preserve">Fixed + miscellaneous</t>
  </si>
  <si>
    <t xml:space="preserve">Zero-base each line; drop non-value-adding costs?</t>
  </si>
  <si>
    <t xml:space="preserve">Reconciliation: total % must = 22% (AOP assumption)</t>
  </si>
  <si>
    <t xml:space="preserve">Check (=0)</t>
  </si>
  <si>
    <t xml:space="preserve">AVF — FY26 SCENARIO MANAGER (Base / Upside / Downside)</t>
  </si>
  <si>
    <t xml:space="preserve">Select a scenario in the control cell → the model applies the matching driver set (INDEX/MATCH). Deltas are labelled assumptions.</t>
  </si>
  <si>
    <t xml:space="preserve">SCENARIO DRIVER SET (pink = assumption)</t>
  </si>
  <si>
    <t xml:space="preserve">Scenario</t>
  </si>
  <si>
    <t xml:space="preserve">Δ Volume %</t>
  </si>
  <si>
    <t xml:space="preserve">Δ Price %</t>
  </si>
  <si>
    <t xml:space="preserve">Δ COGS (pp)</t>
  </si>
  <si>
    <t xml:space="preserve">Base</t>
  </si>
  <si>
    <t xml:space="preserve">Upside</t>
  </si>
  <si>
    <t xml:space="preserve">Downside</t>
  </si>
  <si>
    <t xml:space="preserve">► SELECT SCENARIO:</t>
  </si>
  <si>
    <t xml:space="preserve">Δ applied (selected):</t>
  </si>
  <si>
    <t xml:space="preserve">FY26 RESULTS UNDER 3 SCENARIOS (USD '000)</t>
  </si>
  <si>
    <t xml:space="preserve">EBITDA</t>
  </si>
  <si>
    <t xml:space="preserve">Selected scenario → EBITDA:</t>
  </si>
  <si>
    <t xml:space="preserve">AVF — FY26 ROLLING FORECAST (FY25 run-rate × seasonality) vs AOP</t>
  </si>
  <si>
    <t xml:space="preserve">Forecast ≠ budget: built from the FY25 actual base + run-rate growth, seasonalised. Compared with the AOP to expose the gap.</t>
  </si>
  <si>
    <t xml:space="preserve">FORECAST ASSUMPTIONS</t>
  </si>
  <si>
    <t xml:space="preserve">FY25 actual net revenue (base)</t>
  </si>
  <si>
    <t xml:space="preserve">FY26 run-rate growth %</t>
  </si>
  <si>
    <t xml:space="preserve">→ FY26 forecast net revenue</t>
  </si>
  <si>
    <t xml:space="preserve">FY26 MONTHLY FORECAST vs AOP (USD '000)</t>
  </si>
  <si>
    <t xml:space="preserve">Forecast (rolling)</t>
  </si>
  <si>
    <t xml:space="preserve">AOP (plan)</t>
  </si>
  <si>
    <t xml:space="preserve">Forecast − AOP gap</t>
  </si>
  <si>
    <t xml:space="preserve">RISK &amp; OPPORTUNITY LOG — illustrative assumptions</t>
  </si>
  <si>
    <t xml:space="preserve">Line item</t>
  </si>
  <si>
    <t xml:space="preserve">Type</t>
  </si>
  <si>
    <t xml:space="preserve">EBITDA impact (USD '000)</t>
  </si>
  <si>
    <t xml:space="preserve">Probability</t>
  </si>
  <si>
    <t xml:space="preserve">Owner</t>
  </si>
  <si>
    <t xml:space="preserve">Palm-oil price increase (Snacks raw material)</t>
  </si>
  <si>
    <t xml:space="preserve">Risk</t>
  </si>
  <si>
    <t xml:space="preserve">Cao</t>
  </si>
  <si>
    <t xml:space="preserve">Purchases</t>
  </si>
  <si>
    <t xml:space="preserve">EC channel grows faster than plan</t>
  </si>
  <si>
    <t xml:space="preserve">Opportunity</t>
  </si>
  <si>
    <t xml:space="preserve">Medium</t>
  </si>
  <si>
    <t xml:space="preserve">Head of Sales</t>
  </si>
  <si>
    <t xml:space="preserve">Price erosion from competition</t>
  </si>
  <si>
    <t xml:space="preserve">Marketing</t>
  </si>
  <si>
    <t xml:space="preserve">Logistics optimisation (route consolidation)</t>
  </si>
  <si>
    <t xml:space="preserve">Operations</t>
  </si>
  <si>
    <t xml:space="preserve">Delayed launch of new Culinary SKUs</t>
  </si>
  <si>
    <t xml:space="preserve">Low</t>
  </si>
  <si>
    <t xml:space="preserve">R&amp;D</t>
  </si>
  <si>
    <t xml:space="preserve">Net (Net R&amp;O)</t>
  </si>
  <si>
    <t xml:space="preserve">Read: the run-rate forecast (+8%) is BELOW the AOP (+~11.5%) → negative gap of ~USD 86m. The R&amp;O log quantifies offsets/risks so the CFO can decide actions to close the gap.</t>
  </si>
  <si>
    <t xml:space="preserve">AVF — ASSUMPTIONS &amp; POLICIES (Phase 2 Cash &amp; Capital)</t>
  </si>
  <si>
    <t xml:space="preserve">YELLOW = anchored to AVF actuals / policy · PINK = balance-sheet/cash-flow assumption (not in dataset) — clearly labelled.</t>
  </si>
  <si>
    <t xml:space="preserve">— Growth &amp; margins (FY27-28 forecast) —</t>
  </si>
  <si>
    <t xml:space="preserve">Revenue growth FY27/FY28</t>
  </si>
  <si>
    <t xml:space="preserve">COGS % of revenue (FY27-28)</t>
  </si>
  <si>
    <t xml:space="preserve">Opex excl. D&amp;A % of revenue (FY27-28)</t>
  </si>
  <si>
    <t xml:space="preserve">— Working capital (days) —</t>
  </si>
  <si>
    <t xml:space="preserve">DSO — receivables (days)</t>
  </si>
  <si>
    <t xml:space="preserve">DIO — inventory (days)</t>
  </si>
  <si>
    <t xml:space="preserve">DPO — payables (days)</t>
  </si>
  <si>
    <t xml:space="preserve">Prepayments % of revenue</t>
  </si>
  <si>
    <t xml:space="preserve">Other payables/accruals % of revenue</t>
  </si>
  <si>
    <t xml:space="preserve">— Investment &amp; D&amp;A —</t>
  </si>
  <si>
    <t xml:space="preserve">Capex % of revenue</t>
  </si>
  <si>
    <t xml:space="preserve">D&amp;A % of opening PP&amp;E (FY27-28)</t>
  </si>
  <si>
    <t xml:space="preserve">— Debt &amp; equity —</t>
  </si>
  <si>
    <t xml:space="preserve">Interest rate</t>
  </si>
  <si>
    <t xml:space="preserve">Principal repayment/year</t>
  </si>
  <si>
    <t xml:space="preserve">Dividend payout ratio</t>
  </si>
  <si>
    <t xml:space="preserve">Corporate income tax rate</t>
  </si>
  <si>
    <t xml:space="preserve">Finance income (flat)</t>
  </si>
  <si>
    <t xml:space="preserve">WACC (weighted average cost of capital)</t>
  </si>
  <si>
    <t xml:space="preserve">— FY24 opening balance sheet (balanced assumption) —</t>
  </si>
  <si>
    <t xml:space="preserve">Opening cash</t>
  </si>
  <si>
    <t xml:space="preserve">Opening receivables</t>
  </si>
  <si>
    <t xml:space="preserve">Opening inventory</t>
  </si>
  <si>
    <t xml:space="preserve">Opening prepayments</t>
  </si>
  <si>
    <t xml:space="preserve">Opening net PP&amp;E</t>
  </si>
  <si>
    <t xml:space="preserve">Opening payables</t>
  </si>
  <si>
    <t xml:space="preserve">Opening accrued liabilities</t>
  </si>
  <si>
    <t xml:space="preserve">Opening borrowings</t>
  </si>
  <si>
    <t xml:space="preserve">Share capital</t>
  </si>
  <si>
    <t xml:space="preserve">Opening retained earnings</t>
  </si>
  <si>
    <t xml:space="preserve">AVF — INTEGRATED 3-STATEMENT MODEL (P&amp;L → Balance Sheet → Cash Flow) — USD '000</t>
  </si>
  <si>
    <t xml:space="preserve">FY25A &amp; FY26P anchored to AVF actuals (NPAT ties to dataset). FY27-28 forecast. Balance-sheet check row = 0.</t>
  </si>
  <si>
    <t xml:space="preserve">INCOME STATEMENT</t>
  </si>
  <si>
    <t xml:space="preserve">FY24 (opening)</t>
  </si>
  <si>
    <t xml:space="preserve">FY25A</t>
  </si>
  <si>
    <t xml:space="preserve">FY26P</t>
  </si>
  <si>
    <t xml:space="preserve">FY27F</t>
  </si>
  <si>
    <t xml:space="preserve">FY28F</t>
  </si>
  <si>
    <t xml:space="preserve">Opex excl. D&amp;A</t>
  </si>
  <si>
    <t xml:space="preserve">EBITDA (operating)</t>
  </si>
  <si>
    <t xml:space="preserve">Depreciation &amp; amortisation (D&amp;A)</t>
  </si>
  <si>
    <t xml:space="preserve">EBIT</t>
  </si>
  <si>
    <t xml:space="preserve">Interest expense</t>
  </si>
  <si>
    <t xml:space="preserve">Profit before tax (EBT)</t>
  </si>
  <si>
    <t xml:space="preserve">Corporate income tax</t>
  </si>
  <si>
    <t xml:space="preserve">Net income (NI)</t>
  </si>
  <si>
    <t xml:space="preserve">SCHEDULES: CAPEX &amp; D&amp;A · DEBT · DIVIDENDS</t>
  </si>
  <si>
    <t xml:space="preserve">+ Capex</t>
  </si>
  <si>
    <t xml:space="preserve">− D&amp;A</t>
  </si>
  <si>
    <t xml:space="preserve">Closing net PP&amp;E</t>
  </si>
  <si>
    <t xml:space="preserve">− Principal repaid</t>
  </si>
  <si>
    <t xml:space="preserve">Closing borrowings</t>
  </si>
  <si>
    <t xml:space="preserve">Dividends (payout × NI)</t>
  </si>
  <si>
    <t xml:space="preserve">(D&amp;A used in IS)</t>
  </si>
  <si>
    <t xml:space="preserve">BALANCE SHEET</t>
  </si>
  <si>
    <t xml:space="preserve">Cash</t>
  </si>
  <si>
    <t xml:space="preserve">Receivables (AR)</t>
  </si>
  <si>
    <t xml:space="preserve">Inventory</t>
  </si>
  <si>
    <t xml:space="preserve">Prepayments</t>
  </si>
  <si>
    <t xml:space="preserve">Net PP&amp;E</t>
  </si>
  <si>
    <t xml:space="preserve">TOTAL ASSETS</t>
  </si>
  <si>
    <t xml:space="preserve">Payables (AP)</t>
  </si>
  <si>
    <t xml:space="preserve">Accrued liabilities</t>
  </si>
  <si>
    <t xml:space="preserve">Borrowings</t>
  </si>
  <si>
    <t xml:space="preserve">TOTAL LIABILITIES</t>
  </si>
  <si>
    <t xml:space="preserve">Retained earnings</t>
  </si>
  <si>
    <t xml:space="preserve">TOTAL EQUITY</t>
  </si>
  <si>
    <t xml:space="preserve">TOTAL LIABILITIES &amp; EQUITY</t>
  </si>
  <si>
    <t xml:space="preserve">CHECK (=0)</t>
  </si>
  <si>
    <t xml:space="preserve">CASH FLOW STATEMENT (indirect)</t>
  </si>
  <si>
    <t xml:space="preserve">+ D&amp;A</t>
  </si>
  <si>
    <t xml:space="preserve">− Δ Receivables</t>
  </si>
  <si>
    <t xml:space="preserve">− Δ Inventory</t>
  </si>
  <si>
    <t xml:space="preserve">− Δ Prepayments</t>
  </si>
  <si>
    <t xml:space="preserve">+ Δ Payables</t>
  </si>
  <si>
    <t xml:space="preserve">+ Δ Accruals</t>
  </si>
  <si>
    <t xml:space="preserve">Cash flow from operations</t>
  </si>
  <si>
    <t xml:space="preserve">− Capex</t>
  </si>
  <si>
    <t xml:space="preserve">Cash flow from investing</t>
  </si>
  <si>
    <t xml:space="preserve">− Debt principal repaid</t>
  </si>
  <si>
    <t xml:space="preserve">− Dividends</t>
  </si>
  <si>
    <t xml:space="preserve">Cash flow from financing</t>
  </si>
  <si>
    <t xml:space="preserve">Net change in cash</t>
  </si>
  <si>
    <t xml:space="preserve">Closing cash</t>
  </si>
  <si>
    <t xml:space="preserve">AVF — WORKING CAPITAL &amp; CASH CONVERSION CYCLE (CCC)</t>
  </si>
  <si>
    <t xml:space="preserve">DSO+DIO−DPO. Unit: days. Linked from the 3-Statement model.</t>
  </si>
  <si>
    <t xml:space="preserve">CASH CONVERSION CYCLE</t>
  </si>
  <si>
    <t xml:space="preserve">DSO (days) = AR/Revenue×365</t>
  </si>
  <si>
    <t xml:space="preserve">DIO (days) = Inventory/COGS×365</t>
  </si>
  <si>
    <t xml:space="preserve">DPO (days) = AP/COGS×365</t>
  </si>
  <si>
    <t xml:space="preserve">CCC (days)</t>
  </si>
  <si>
    <t xml:space="preserve">Net working capital (NWC)</t>
  </si>
  <si>
    <t xml:space="preserve">Δ NWC (cash released/used)</t>
  </si>
  <si>
    <t xml:space="preserve">Read: a positive CCC means cash is 'locked up' in operations; shortening DSO/DIO or extending DPO releases cash.</t>
  </si>
  <si>
    <t xml:space="preserve">AVF — ROIC &amp; ECONOMIC PROFIT — the CFO's value-creation lens</t>
  </si>
  <si>
    <t xml:space="preserve">ROIC = NOPAT / Average invested capital. EP = (ROIC − WACC) × Invested capital. Linked from the 3-Statement model.</t>
  </si>
  <si>
    <t xml:space="preserve">ROIC &amp; ECONOMIC PROFIT</t>
  </si>
  <si>
    <t xml:space="preserve">NOPAT = EBIT×(1−tax)</t>
  </si>
  <si>
    <t xml:space="preserve">Invested capital (Debt + Equity − Cash)</t>
  </si>
  <si>
    <t xml:space="preserve">Average invested capital</t>
  </si>
  <si>
    <t xml:space="preserve">ROIC %</t>
  </si>
  <si>
    <t xml:space="preserve">WACC %</t>
  </si>
  <si>
    <t xml:space="preserve">Spread (ROIC − WACC)</t>
  </si>
  <si>
    <t xml:space="preserve">Economic Profit (EP)</t>
  </si>
  <si>
    <t xml:space="preserve">NOPAT margin %</t>
  </si>
  <si>
    <t xml:space="preserve">Capital turnover (x)</t>
  </si>
  <si>
    <t xml:space="preserve">Read: EP&gt;0 when ROIC exceeds WACC — the company CREATES value. ROIC = NOPAT margin × capital turnover (DuPont driver tree).</t>
  </si>
  <si>
    <t xml:space="preserve">AVF — 13-WEEK CASH FORECAST (direct method) — USD '000</t>
  </si>
  <si>
    <t xml:space="preserve">Treasury short-term liquidity tool. Weekly cash flows are LABELLED ASSUMPTIONS (Q1 seasonality simulation).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</si>
  <si>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</si>
  <si>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</si>
  <si>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</si>
  <si>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</si>
  <si>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</si>
  <si>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</si>
  <si>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</si>
  <si>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</si>
  <si>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</si>
  <si>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T13</t>
  </si>
  <si>
    <t xml:space="preserve">Opening cash (week)</t>
  </si>
  <si>
    <t xml:space="preserve">Receipts from customers (AR)</t>
  </si>
  <si>
    <t xml:space="preserve">Other receipts</t>
  </si>
  <si>
    <t xml:space="preserve">TOTAL RECEIPTS</t>
  </si>
  <si>
    <t xml:space="preserve">Payments to suppliers</t>
  </si>
  <si>
    <t xml:space="preserve">Salaries &amp; social insurance</t>
  </si>
  <si>
    <t xml:space="preserve">Operating costs</t>
  </si>
  <si>
    <t xml:space="preserve">Tax</t>
  </si>
  <si>
    <t xml:space="preserve">Debt &amp; interest payments</t>
  </si>
  <si>
    <t xml:space="preserve">Capex</t>
  </si>
  <si>
    <t xml:space="preserve">TOTAL PAYMENTS</t>
  </si>
  <si>
    <t xml:space="preserve">Net cash flow</t>
  </si>
  <si>
    <t xml:space="preserve">Closing cash (week)</t>
  </si>
  <si>
    <t xml:space="preserve">Liquidity alert: watch the 'Closing cash' line — if it hits the minimum threshold, draw on the credit line. Week 12 (Lunar New Year) has peak collections but supplier and tax payments also bunch up.</t>
  </si>
  <si>
    <t xml:space="preserve">AVF — CONTRIBUTION MARGIN BY PRODUCT × CHANNEL (FY25) — the basis for every decision</t>
  </si>
  <si>
    <t xml:space="preserve">CM/tonne = ASP − COGS/tonne (derived from AVF actuals). Unit: USD '000. Sorted by CM% descending.</t>
  </si>
  <si>
    <t xml:space="preserve">CONTRIBUTION MARGIN</t>
  </si>
  <si>
    <t xml:space="preserve">ASP</t>
  </si>
  <si>
    <t xml:space="preserve">COGS/tonne</t>
  </si>
  <si>
    <t xml:space="preserve">CM/tonne</t>
  </si>
  <si>
    <t xml:space="preserve">CM %</t>
  </si>
  <si>
    <t xml:space="preserve">Volume</t>
  </si>
  <si>
    <t xml:space="preserve">Total CM</t>
  </si>
  <si>
    <t xml:space="preserve">TOTAL / AVG</t>
  </si>
  <si>
    <t xml:space="preserve">Read: the EC channel delivers the highest CM% (41–45%); Beverages MT the lowest (~35%). Culinary is the high-margin product group. This is the basis for Portfolio, Mix and Pricing.</t>
  </si>
  <si>
    <t xml:space="preserve">AVF — PORTFOLIO MATRIX (Growth × NET Contribution Margin) → Grow / Hold / Selective / Exit</t>
  </si>
  <si>
    <t xml:space="preserve">Classified by Growth (FY26 vs FY25) × NET CM% (after channel cost-to-serve). Cost-to-serve &amp; thresholds in pink/yellow cells — change them to reclassify.</t>
  </si>
  <si>
    <t xml:space="preserve">Cost-to-serve % by channel (labelled assumption):</t>
  </si>
  <si>
    <t xml:space="preserve">High growth threshold ≥</t>
  </si>
  <si>
    <t xml:space="preserve">High net CM% threshold ≥</t>
  </si>
  <si>
    <t xml:space="preserve">CLASSIFICATION OF 9 COMBOS — by NET margin after cost-to-serve</t>
  </si>
  <si>
    <t xml:space="preserve">Growth</t>
  </si>
  <si>
    <t xml:space="preserve">Gross CM%</t>
  </si>
  <si>
    <t xml:space="preserve">Cost-to-serve %</t>
  </si>
  <si>
    <t xml:space="preserve">Net CM%</t>
  </si>
  <si>
    <t xml:space="preserve">Rating</t>
  </si>
  <si>
    <t xml:space="preserve">SOURCES &amp; METHODOLOGY</t>
  </si>
  <si>
    <t xml:space="preserve">Original frameworks: BCG Growth–Share Matrix (B. Henderson / Boston Consulting Group, ~1968) — Stars/Cash Cows/Question Marks/Dogs; and the GE–McKinsey Nine-Box (GE + McKinsey, early 1970s) — Invest/Hold/Harvest–Divest. 'Cash cow' = Cash Cow.</t>
  </si>
  <si>
    <t xml:space="preserve">ADAPTED VERSION (not the standard BCG): axes = Revenue growth × NET contribution margin, instead of 'relative market share × market growth' (BCG) / 'industry attractiveness × business strength' (GE-McKinsey).</t>
  </si>
  <si>
    <t xml:space="preserve">Classification thresholds are user-set (yellow cells) — not a standard. Channel cost-to-serve is a labelled assumption (pink cells): replace with real figures (logistics, e-commerce platform fees, A&amp;P) before deciding Grow/Exit.</t>
  </si>
  <si>
    <t xml:space="preserve">Limitations: 2-dimensional, static matrix; ignores product/channel synergies; growth is taken from the FY26 PLAN (not actuals). Use for direction, not to replace detailed decisions.</t>
  </si>
  <si>
    <t xml:space="preserve">AVF — MIX OPTIMISATION — shifting volume to high-margin combos</t>
  </si>
  <si>
    <t xml:space="preserve">Lever: move X% of total volume from the lowest CM/tonne combo (Beverages MT) to the highest (Culinary EC). Price &amp; CM/tonne held constant.</t>
  </si>
  <si>
    <t xml:space="preserve">MIX LEVER</t>
  </si>
  <si>
    <t xml:space="preserve">Total volume (tonnes)</t>
  </si>
  <si>
    <t xml:space="preserve">Lowest CM/tonne — Beverages MT</t>
  </si>
  <si>
    <t xml:space="preserve">Highest CM/tonne — Snacks EC</t>
  </si>
  <si>
    <t xml:space="preserve">% of total volume shifted (lever)</t>
  </si>
  <si>
    <t xml:space="preserve">Current CM (total)</t>
  </si>
  <si>
    <t xml:space="preserve">Volume shifted (tonnes)</t>
  </si>
  <si>
    <t xml:space="preserve">Δ CM from mix shift</t>
  </si>
  <si>
    <t xml:space="preserve">CM after optimisation</t>
  </si>
  <si>
    <t xml:space="preserve">% CM improvement</t>
  </si>
  <si>
    <t xml:space="preserve">Read: shifting just 3% of volume to high-margin combos lifts CM materially without any revenue growth — 'free' profit leverage if channel capacity allows. Check: Δ equals volume shifted × CM/tonne spread.</t>
  </si>
  <si>
    <t xml:space="preserve">AVF — PRICE &amp; ELASTICITY SIMULATION</t>
  </si>
  <si>
    <t xml:space="preserve">Δvolume% = elasticity × Δprice%. Elasticity is an ASSUMPTION (pink). Calculated on product-line totals.</t>
  </si>
  <si>
    <t xml:space="preserve">PRICE SCENARIO BY PRODUCT LINE</t>
  </si>
  <si>
    <t xml:space="preserve">Base revenue</t>
  </si>
  <si>
    <t xml:space="preserve">Base CM</t>
  </si>
  <si>
    <t xml:space="preserve">Elasticity</t>
  </si>
  <si>
    <t xml:space="preserve">Δ Volume %</t>
  </si>
  <si>
    <t xml:space="preserve">New revenue</t>
  </si>
  <si>
    <t xml:space="preserve">New CM</t>
  </si>
  <si>
    <t xml:space="preserve">Δ CM</t>
  </si>
  <si>
    <t xml:space="preserve">Read: with elasticity of −1.2, a 3% price increase cuts volume by 3.6% → revenue is roughly flat but CM may FALL (losing high-margin volume). A 'test before you decide' tool — change Δprice% and elasticity to find the break-even point.</t>
  </si>
  <si>
    <t xml:space="preserve">AVF — CFO ONE-PAGE DASHBOARD</t>
  </si>
  <si>
    <t xml:space="preserve">Consolidates Phase 1 + Phase 2. 4-year figures carried from Phase 2 (green labels). Unit: USD '000.</t>
  </si>
  <si>
    <t xml:space="preserve">KEY METRICS — FY26 PLAN</t>
  </si>
  <si>
    <t xml:space="preserve">Revenue growth</t>
  </si>
  <si>
    <t xml:space="preserve">Gross margin</t>
  </si>
  <si>
    <t xml:space="preserve">ROIC</t>
  </si>
  <si>
    <t xml:space="preserve">Economic Profit</t>
  </si>
  <si>
    <t xml:space="preserve">Net debt (Debt − Cash)</t>
  </si>
  <si>
    <t xml:space="preserve">AVERAGE CONTRIBUTION MARGIN % BY PRODUCT LINE</t>
  </si>
  <si>
    <t xml:space="preserve">4-YEAR DATA (carried from Phase 2 — green labels)</t>
  </si>
  <si>
    <t xml:space="preserve">Net income</t>
  </si>
  <si>
    <t xml:space="preserve">AVF — FINANCIAL BOARD PACK &amp; COMMENTARY (FY26 Plan)</t>
  </si>
  <si>
    <t xml:space="preserve">Board document structure + automated commentary (some lines linked live to the Dashboard).</t>
  </si>
  <si>
    <t xml:space="preserve">BOARD EXHIBIT LIST (12–14 slides)</t>
  </si>
  <si>
    <t xml:space="preserve">Exhibit</t>
  </si>
  <si>
    <t xml:space="preserve">Key message</t>
  </si>
  <si>
    <t xml:space="preserve">Source</t>
  </si>
  <si>
    <t xml:space="preserve">1</t>
  </si>
  <si>
    <t xml:space="preserve">Executive summary</t>
  </si>
  <si>
    <t xml:space="preserve">3 points: growth, margin, value creation</t>
  </si>
  <si>
    <t xml:space="preserve">Dashboard</t>
  </si>
  <si>
    <t xml:space="preserve">2</t>
  </si>
  <si>
    <t xml:space="preserve">Revenue bridge FY25→FY26</t>
  </si>
  <si>
    <t xml:space="preserve">Up ~11.6% on volume &amp; EC mix</t>
  </si>
  <si>
    <t xml:space="preserve">AOP / Product-channel detail</t>
  </si>
  <si>
    <t xml:space="preserve">3</t>
  </si>
  <si>
    <t xml:space="preserve">Margin bridge</t>
  </si>
  <si>
    <t xml:space="preserve">Gross margin improves 38%→~40%</t>
  </si>
  <si>
    <t xml:space="preserve">P&amp;L / COGS</t>
  </si>
  <si>
    <t xml:space="preserve">4</t>
  </si>
  <si>
    <t xml:space="preserve">EBITDA &amp; ROIC 4 years</t>
  </si>
  <si>
    <t xml:space="preserve">EBITDA +14%, ROIC 41%→43%</t>
  </si>
  <si>
    <t xml:space="preserve">3-Statement/ROIC</t>
  </si>
  <si>
    <t xml:space="preserve">5</t>
  </si>
  <si>
    <t xml:space="preserve">Cash flow &amp; liquidity</t>
  </si>
  <si>
    <t xml:space="preserve">Cash grows; 13 weeks safe</t>
  </si>
  <si>
    <t xml:space="preserve">Cash/13-week</t>
  </si>
  <si>
    <t xml:space="preserve">6</t>
  </si>
  <si>
    <t xml:space="preserve">Working capital &amp; CCC</t>
  </si>
  <si>
    <t xml:space="preserve">CCC 50 days — room to shorten</t>
  </si>
  <si>
    <t xml:space="preserve">Working Capital</t>
  </si>
  <si>
    <t xml:space="preserve">7</t>
  </si>
  <si>
    <t xml:space="preserve">Product × channel portfolio</t>
  </si>
  <si>
    <t xml:space="preserve">EC is the engine; review Beverages MT</t>
  </si>
  <si>
    <t xml:space="preserve">Portfolio</t>
  </si>
  <si>
    <t xml:space="preserve">8</t>
  </si>
  <si>
    <t xml:space="preserve">Scenarios &amp; risks</t>
  </si>
  <si>
    <t xml:space="preserve">EBITDA range + R&amp;O log</t>
  </si>
  <si>
    <t xml:space="preserve">Scenario/Rolling</t>
  </si>
  <si>
    <t xml:space="preserve">9</t>
  </si>
  <si>
    <t xml:space="preserve">Capital allocation proposal</t>
  </si>
  <si>
    <t xml:space="preserve">Shift A&amp;P/capex to EC</t>
  </si>
  <si>
    <t xml:space="preserve">Portfolio/Mix</t>
  </si>
  <si>
    <t xml:space="preserve">10</t>
  </si>
  <si>
    <t xml:space="preserve">Conclusion &amp; approval request</t>
  </si>
  <si>
    <t xml:space="preserve">Approve FY26 AOP</t>
  </si>
  <si>
    <t xml:space="preserve">—</t>
  </si>
  <si>
    <t xml:space="preserve">MANAGEMENT COMMENTARY (generated from the numbers)</t>
  </si>
  <si>
    <t xml:space="preserve">5. Drivers &amp; risks: the EC channel (margin 41–45%, growth 23.6%) is the growth engine — recommend concentrating A&amp;P/capex there; review Beverages MT (lowest margin). Key risks: raw-material prices (palm oil) and price competition — track in the R&amp;O log.</t>
  </si>
  <si>
    <t xml:space="preserve">6. Recommendation: Board to approve the FY26 AOP; prioritise investment in the 'Grow' portfolio; set a target to shorten the CCC and release cash.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</si>
</sst>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#,##0.00"/>
    <numFmt numFmtId="167" formatCode="#,##0;\(#,##0\);\-"/>
    <numFmt numFmtId="168" formatCode="0.0%"/>
    <numFmt numFmtId="169" formatCode="#,##0.0"/>
    <numFmt numFmtId="170" formatCode="0.0000"/>
    <numFmt numFmtId="171" formatCode="\+0.0%;\-0.0%;0.0%"/>
    <numFmt numFmtId="172" formatCode="\+0.0&quot;pp&quot;;\-0.0&quot;pp&quot;;0.0&quot;pp&quot;"/>
    <numFmt numFmtId="173" formatCode="#,##0&quot; days&quot;"/>
    <numFmt numFmtId="174" formatCode="0.00\x"/>
    <numFmt numFmtId="175" formatCode="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563C1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C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.5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3"/>
      <color rgb="FFED7D3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9F9F9"/>
      </patternFill>
    </fill>
    <fill>
      <patternFill patternType="solid">
        <fgColor rgb="FFFCE4D6"/>
        <bgColor rgb="FFFBE4D5"/>
      </patternFill>
    </fill>
    <fill>
      <patternFill patternType="solid">
        <fgColor rgb="FFFBE4D5"/>
        <bgColor rgb="FFFCE4D6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CE4D6"/>
      <rgbColor rgb="FF99CCFF"/>
      <rgbColor rgb="FFFF99CC"/>
      <rgbColor rgb="FFCC99FF"/>
      <rgbColor rgb="FFFBE4D5"/>
      <rgbColor rgb="FF4F81BD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&amp; EBITDA (4 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Net revenue</c:v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'3.5 CFO Dashboard'!$C$45:$F$45</c:f>
              <c:strCache>
                <c:ptCount val="4"/>
                <c:pt idx="0">
                  <c:v>FY25A</c:v>
                </c:pt>
                <c:pt idx="1">
                  <c:v>FY26P</c:v>
                </c:pt>
                <c:pt idx="2">
                  <c:v>FY27F</c:v>
                </c:pt>
                <c:pt idx="3">
                  <c:v>FY28F</c:v>
                </c:pt>
              </c:strCache>
            </c:strRef>
          </c:cat>
          <c:val>
            <c:numRef>
              <c:f>'3.5 CFO Dashboard'!$C$46:$F$46</c:f>
              <c:numCache>
                <c:formatCode>#,##0;\(#,##0\);\-</c:formatCode>
                <c:ptCount val="4"/>
                <c:pt idx="0">
                  <c:v>2454391</c:v>
                </c:pt>
                <c:pt idx="1">
                  <c:v>2738766</c:v>
                </c:pt>
                <c:pt idx="2">
                  <c:v>2957867</c:v>
                </c:pt>
                <c:pt idx="3">
                  <c:v>3194497</c:v>
                </c:pt>
              </c:numCache>
            </c:numRef>
          </c:val>
        </c:ser>
        <c:ser>
          <c:idx val="1"/>
          <c:order val="1"/>
          <c:tx>
            <c:v>EBITDA</c:v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'3.5 CFO Dashboard'!$C$45:$F$45</c:f>
              <c:strCache>
                <c:ptCount val="4"/>
                <c:pt idx="0">
                  <c:v>FY25A</c:v>
                </c:pt>
                <c:pt idx="1">
                  <c:v>FY26P</c:v>
                </c:pt>
                <c:pt idx="2">
                  <c:v>FY27F</c:v>
                </c:pt>
                <c:pt idx="3">
                  <c:v>FY28F</c:v>
                </c:pt>
              </c:strCache>
            </c:strRef>
          </c:cat>
          <c:val>
            <c:numRef>
              <c:f>'3.5 CFO Dashboard'!$C$48:$F$48</c:f>
              <c:numCache>
                <c:formatCode>#,##0;\(#,##0\);\-</c:formatCode>
                <c:ptCount val="4"/>
                <c:pt idx="0">
                  <c:v>434692</c:v>
                </c:pt>
                <c:pt idx="1">
                  <c:v>532538</c:v>
                </c:pt>
                <c:pt idx="2">
                  <c:v>573428</c:v>
                </c:pt>
                <c:pt idx="3">
                  <c:v>618753</c:v>
                </c:pt>
              </c:numCache>
            </c:numRef>
          </c:val>
        </c:ser>
        <c:gapWidth val="150"/>
        <c:overlap val="0"/>
        <c:axId val="86354640"/>
        <c:axId val="82100033"/>
      </c:barChart>
      <c:catAx>
        <c:axId val="8635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00033"/>
        <c:crosses val="autoZero"/>
        <c:auto val="1"/>
        <c:lblAlgn val="ctr"/>
        <c:lblOffset val="100"/>
        <c:noMultiLvlLbl val="0"/>
      </c:catAx>
      <c:valAx>
        <c:axId val="82100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546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ROIC (4 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v>ROIC</c:v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'3.5 CFO Dashboard'!$C$45:$F$45</c:f>
              <c:strCache>
                <c:ptCount val="4"/>
                <c:pt idx="0">
                  <c:v>FY25A</c:v>
                </c:pt>
                <c:pt idx="1">
                  <c:v>FY26P</c:v>
                </c:pt>
                <c:pt idx="2">
                  <c:v>FY27F</c:v>
                </c:pt>
                <c:pt idx="3">
                  <c:v>FY28F</c:v>
                </c:pt>
              </c:strCache>
            </c:strRef>
          </c:cat>
          <c:val>
            <c:numRef>
              <c:f>'3.5 CFO Dashboard'!$C$50:$F$50</c:f>
              <c:numCache>
                <c:formatCode>0.0%</c:formatCode>
                <c:ptCount val="4"/>
                <c:pt idx="0">
                  <c:v>0.344</c:v>
                </c:pt>
                <c:pt idx="1">
                  <c:v>0.41</c:v>
                </c:pt>
                <c:pt idx="2">
                  <c:v>0.423</c:v>
                </c:pt>
                <c:pt idx="3">
                  <c:v>0.432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192902"/>
        <c:axId val="90706256"/>
      </c:lineChart>
      <c:catAx>
        <c:axId val="531929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06256"/>
        <c:crosses val="autoZero"/>
        <c:auto val="1"/>
        <c:lblAlgn val="ctr"/>
        <c:lblOffset val="100"/>
        <c:noMultiLvlLbl val="0"/>
      </c:catAx>
      <c:valAx>
        <c:axId val="90706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929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CM% by product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CM%</c:v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'3.5 CFO Dashboard'!$B$30:$B$32</c:f>
              <c:strCache>
                <c:ptCount val="3"/>
                <c:pt idx="0">
                  <c:v>Snacks</c:v>
                </c:pt>
                <c:pt idx="1">
                  <c:v>Beverages</c:v>
                </c:pt>
                <c:pt idx="2">
                  <c:v>Culinary</c:v>
                </c:pt>
              </c:strCache>
            </c:strRef>
          </c:cat>
          <c:val>
            <c:numRef>
              <c:f>'3.5 CFO Dashboard'!$C$30:$C$32</c:f>
              <c:numCache>
                <c:formatCode>0.0%</c:formatCode>
                <c:ptCount val="3"/>
                <c:pt idx="0">
                  <c:v>0.3792</c:v>
                </c:pt>
                <c:pt idx="1">
                  <c:v>0.3686</c:v>
                </c:pt>
                <c:pt idx="2">
                  <c:v>0.4153</c:v>
                </c:pt>
              </c:numCache>
            </c:numRef>
          </c:val>
        </c:ser>
        <c:gapWidth val="150"/>
        <c:overlap val="0"/>
        <c:axId val="84068787"/>
        <c:axId val="55869462"/>
      </c:barChart>
      <c:catAx>
        <c:axId val="840687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69462"/>
        <c:crosses val="autoZero"/>
        <c:auto val="1"/>
        <c:lblAlgn val="ctr"/>
        <c:lblOffset val="100"/>
        <c:noMultiLvlLbl val="0"/>
      </c:catAx>
      <c:valAx>
        <c:axId val="55869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687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130680</xdr:rowOff>
    </xdr:from>
    <xdr:to>
      <xdr:col>7</xdr:col>
      <xdr:colOff>239400</xdr:colOff>
      <xdr:row>24</xdr:row>
      <xdr:rowOff>173880</xdr:rowOff>
    </xdr:to>
    <xdr:graphicFrame>
      <xdr:nvGraphicFramePr>
        <xdr:cNvPr id="0" name="Chart 1"/>
        <xdr:cNvGraphicFramePr/>
      </xdr:nvGraphicFramePr>
      <xdr:xfrm>
        <a:off x="141120" y="24955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130680</xdr:rowOff>
    </xdr:from>
    <xdr:to>
      <xdr:col>13</xdr:col>
      <xdr:colOff>153360</xdr:colOff>
      <xdr:row>24</xdr:row>
      <xdr:rowOff>173880</xdr:rowOff>
    </xdr:to>
    <xdr:graphicFrame>
      <xdr:nvGraphicFramePr>
        <xdr:cNvPr id="1" name="Chart 2"/>
        <xdr:cNvGraphicFramePr/>
      </xdr:nvGraphicFramePr>
      <xdr:xfrm>
        <a:off x="4581360" y="249552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130680</xdr:rowOff>
    </xdr:from>
    <xdr:to>
      <xdr:col>6</xdr:col>
      <xdr:colOff>153720</xdr:colOff>
      <xdr:row>43</xdr:row>
      <xdr:rowOff>194760</xdr:rowOff>
    </xdr:to>
    <xdr:graphicFrame>
      <xdr:nvGraphicFramePr>
        <xdr:cNvPr id="2" name="Chart 3"/>
        <xdr:cNvGraphicFramePr/>
      </xdr:nvGraphicFramePr>
      <xdr:xfrm>
        <a:off x="141120" y="6534000"/>
        <a:ext cx="395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12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9.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</row>
    <row r="7" customFormat="false" ht="18" hidden="false" customHeight="true" outlineLevel="0" collapsed="false">
      <c r="B7" s="5" t="s">
        <v>7</v>
      </c>
      <c r="C7" s="5"/>
      <c r="D7" s="5"/>
      <c r="E7" s="5"/>
    </row>
    <row r="8" customFormat="false" ht="23.85" hidden="false" customHeight="false" outlineLevel="0" collapsed="false">
      <c r="B8" s="6" t="n">
        <v>1</v>
      </c>
      <c r="C8" s="7" t="s">
        <v>8</v>
      </c>
      <c r="D8" s="8" t="s">
        <v>9</v>
      </c>
      <c r="E8" s="9" t="str">
        <f aca="false">HYPERLINK("#'1.1 AOP FY26'!A1","→ Open")</f>
        <v>→ Open</v>
      </c>
    </row>
    <row r="9" customFormat="false" ht="15" hidden="false" customHeight="false" outlineLevel="0" collapsed="false">
      <c r="B9" s="6" t="n">
        <v>2</v>
      </c>
      <c r="C9" s="7" t="s">
        <v>10</v>
      </c>
      <c r="D9" s="8" t="s">
        <v>11</v>
      </c>
      <c r="E9" s="9" t="str">
        <f aca="false">HYPERLINK("#'1.2 ZBB Opex'!A1","→ Open")</f>
        <v>→ Open</v>
      </c>
    </row>
    <row r="10" customFormat="false" ht="15" hidden="false" customHeight="false" outlineLevel="0" collapsed="false">
      <c r="B10" s="6" t="n">
        <v>3</v>
      </c>
      <c r="C10" s="7" t="s">
        <v>12</v>
      </c>
      <c r="D10" s="8" t="s">
        <v>13</v>
      </c>
      <c r="E10" s="9" t="str">
        <f aca="false">HYPERLINK("#'1.3 Scenario'!A1","→ Open")</f>
        <v>→ Open</v>
      </c>
    </row>
    <row r="11" customFormat="false" ht="15" hidden="false" customHeight="false" outlineLevel="0" collapsed="false">
      <c r="B11" s="6" t="n">
        <v>4</v>
      </c>
      <c r="C11" s="7" t="s">
        <v>14</v>
      </c>
      <c r="D11" s="8" t="s">
        <v>15</v>
      </c>
      <c r="E11" s="9" t="str">
        <f aca="false">HYPERLINK("#'1.4 Rolling Forecast'!A1","→ Open")</f>
        <v>→ Open</v>
      </c>
    </row>
    <row r="12" customFormat="false" ht="18" hidden="false" customHeight="true" outlineLevel="0" collapsed="false">
      <c r="B12" s="5" t="s">
        <v>16</v>
      </c>
      <c r="C12" s="5"/>
      <c r="D12" s="5"/>
      <c r="E12" s="5"/>
    </row>
    <row r="13" customFormat="false" ht="15" hidden="false" customHeight="false" outlineLevel="0" collapsed="false">
      <c r="B13" s="6" t="n">
        <v>5</v>
      </c>
      <c r="C13" s="7" t="s">
        <v>17</v>
      </c>
      <c r="D13" s="8" t="s">
        <v>18</v>
      </c>
      <c r="E13" s="9" t="str">
        <f aca="false">HYPERLINK("#'2.1 Assumptions'!A1","→ Open")</f>
        <v>→ Open</v>
      </c>
    </row>
    <row r="14" customFormat="false" ht="15" hidden="false" customHeight="false" outlineLevel="0" collapsed="false">
      <c r="B14" s="6" t="n">
        <v>6</v>
      </c>
      <c r="C14" s="7" t="s">
        <v>19</v>
      </c>
      <c r="D14" s="8" t="s">
        <v>20</v>
      </c>
      <c r="E14" s="9" t="str">
        <f aca="false">HYPERLINK("#'2.2 3-Statement'!A1","→ Open")</f>
        <v>→ Open</v>
      </c>
    </row>
    <row r="15" customFormat="false" ht="15" hidden="false" customHeight="false" outlineLevel="0" collapsed="false">
      <c r="B15" s="6" t="n">
        <v>7</v>
      </c>
      <c r="C15" s="7" t="s">
        <v>21</v>
      </c>
      <c r="D15" s="8" t="s">
        <v>22</v>
      </c>
      <c r="E15" s="9" t="str">
        <f aca="false">HYPERLINK("#'2.3 Working Capital &amp; CCC'!A1","→ Open")</f>
        <v>→ Open</v>
      </c>
    </row>
    <row r="16" customFormat="false" ht="15" hidden="false" customHeight="false" outlineLevel="0" collapsed="false">
      <c r="B16" s="6" t="n">
        <v>8</v>
      </c>
      <c r="C16" s="7" t="s">
        <v>23</v>
      </c>
      <c r="D16" s="8" t="s">
        <v>24</v>
      </c>
      <c r="E16" s="9" t="str">
        <f aca="false">HYPERLINK("#'2.4 ROIC &amp; EP'!A1","→ Open")</f>
        <v>→ Open</v>
      </c>
    </row>
    <row r="17" customFormat="false" ht="15" hidden="false" customHeight="false" outlineLevel="0" collapsed="false">
      <c r="B17" s="6" t="n">
        <v>9</v>
      </c>
      <c r="C17" s="7" t="s">
        <v>25</v>
      </c>
      <c r="D17" s="8" t="s">
        <v>26</v>
      </c>
      <c r="E17" s="9" t="str">
        <f aca="false">HYPERLINK("#'2.5 13-Week Cash'!A1","→ Open")</f>
        <v>→ Open</v>
      </c>
    </row>
    <row r="18" customFormat="false" ht="18" hidden="false" customHeight="true" outlineLevel="0" collapsed="false">
      <c r="B18" s="5" t="s">
        <v>27</v>
      </c>
      <c r="C18" s="5"/>
      <c r="D18" s="5"/>
      <c r="E18" s="5"/>
    </row>
    <row r="19" customFormat="false" ht="15" hidden="false" customHeight="false" outlineLevel="0" collapsed="false">
      <c r="B19" s="6" t="n">
        <v>10</v>
      </c>
      <c r="C19" s="7" t="s">
        <v>28</v>
      </c>
      <c r="D19" s="8" t="s">
        <v>29</v>
      </c>
      <c r="E19" s="9" t="str">
        <f aca="false">HYPERLINK("#'3.1 Contribution Margin'!A1","→ Open")</f>
        <v>→ Open</v>
      </c>
    </row>
    <row r="20" customFormat="false" ht="15" hidden="false" customHeight="false" outlineLevel="0" collapsed="false">
      <c r="B20" s="6" t="n">
        <v>11</v>
      </c>
      <c r="C20" s="7" t="s">
        <v>30</v>
      </c>
      <c r="D20" s="8" t="s">
        <v>31</v>
      </c>
      <c r="E20" s="9" t="str">
        <f aca="false">HYPERLINK("#'3.2 Portfolio'!A1","→ Open")</f>
        <v>→ Open</v>
      </c>
    </row>
    <row r="21" customFormat="false" ht="15" hidden="false" customHeight="false" outlineLevel="0" collapsed="false">
      <c r="B21" s="6" t="n">
        <v>12</v>
      </c>
      <c r="C21" s="7" t="s">
        <v>32</v>
      </c>
      <c r="D21" s="8" t="s">
        <v>33</v>
      </c>
      <c r="E21" s="9" t="str">
        <f aca="false">HYPERLINK("#'3.3 Mix Optimization'!A1","→ Open")</f>
        <v>→ Open</v>
      </c>
    </row>
    <row r="22" customFormat="false" ht="15" hidden="false" customHeight="false" outlineLevel="0" collapsed="false">
      <c r="B22" s="6" t="n">
        <v>13</v>
      </c>
      <c r="C22" s="7" t="s">
        <v>34</v>
      </c>
      <c r="D22" s="8" t="s">
        <v>35</v>
      </c>
      <c r="E22" s="9" t="str">
        <f aca="false">HYPERLINK("#'3.4 Pricing &amp; Elasticity'!A1","→ Open")</f>
        <v>→ Open</v>
      </c>
    </row>
    <row r="23" customFormat="false" ht="15" hidden="false" customHeight="false" outlineLevel="0" collapsed="false">
      <c r="B23" s="6" t="n">
        <v>14</v>
      </c>
      <c r="C23" s="7" t="s">
        <v>36</v>
      </c>
      <c r="D23" s="8" t="s">
        <v>37</v>
      </c>
      <c r="E23" s="9" t="str">
        <f aca="false">HYPERLINK("#'3.5 CFO Dashboard'!A1","→ Open")</f>
        <v>→ Open</v>
      </c>
    </row>
    <row r="24" customFormat="false" ht="15" hidden="false" customHeight="false" outlineLevel="0" collapsed="false">
      <c r="B24" s="6" t="n">
        <v>15</v>
      </c>
      <c r="C24" s="7" t="s">
        <v>38</v>
      </c>
      <c r="D24" s="8" t="s">
        <v>39</v>
      </c>
      <c r="E24" s="9" t="str">
        <f aca="false">HYPERLINK("#'3.6 Board Pack &amp; Commentary'!A1","→ Open")</f>
        <v>→ Open</v>
      </c>
    </row>
    <row r="26" customFormat="false" ht="30" hidden="false" customHeight="true" outlineLevel="0" collapsed="false">
      <c r="B26" s="10" t="s">
        <v>40</v>
      </c>
      <c r="C26" s="10"/>
      <c r="D26" s="10"/>
      <c r="E26" s="10"/>
    </row>
  </sheetData>
  <mergeCells count="4">
    <mergeCell ref="B7:E7"/>
    <mergeCell ref="B12:E12"/>
    <mergeCell ref="B18:E18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7" topLeftCell="C28" activePane="bottomRight" state="frozen"/>
      <selection pane="topLeft" activeCell="A1" activeCellId="0" sqref="A1"/>
      <selection pane="topRight" activeCell="C1" activeCellId="0" sqref="C1"/>
      <selection pane="bottomLeft" activeCell="A28" activeCellId="0" sqref="A2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5" min="3" style="0" width="9.51"/>
  </cols>
  <sheetData>
    <row r="1" customFormat="false" ht="18.55" hidden="false" customHeight="false" outlineLevel="0" collapsed="false">
      <c r="A1" s="11" t="str">
        <f aca="false">HYPERLINK("#'0. HOME'!A1","⌂")</f>
        <v>⌂</v>
      </c>
      <c r="B1" s="12" t="s">
        <v>41</v>
      </c>
    </row>
    <row r="2" customFormat="false" ht="15" hidden="false" customHeight="false" outlineLevel="0" collapsed="false">
      <c r="B2" s="13" t="s">
        <v>42</v>
      </c>
    </row>
    <row r="4" customFormat="false" ht="18" hidden="false" customHeight="true" outlineLevel="0" collapsed="false">
      <c r="B4" s="5" t="s">
        <v>43</v>
      </c>
      <c r="C4" s="5"/>
      <c r="D4" s="5"/>
      <c r="E4" s="5"/>
      <c r="F4" s="5"/>
      <c r="G4" s="5"/>
      <c r="H4" s="5"/>
      <c r="I4" s="5"/>
    </row>
    <row r="5" customFormat="false" ht="23.85" hidden="false" customHeight="false" outlineLevel="0" collapsed="false"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</row>
    <row r="6" customFormat="false" ht="15" hidden="false" customHeight="false" outlineLevel="0" collapsed="false">
      <c r="B6" s="14" t="s">
        <v>52</v>
      </c>
      <c r="C6" s="15" t="s">
        <v>53</v>
      </c>
      <c r="D6" s="16" t="n">
        <v>8056</v>
      </c>
      <c r="E6" s="17" t="n">
        <v>54.38</v>
      </c>
      <c r="F6" s="18" t="n">
        <v>438085.28</v>
      </c>
      <c r="G6" s="19" t="n">
        <v>7600</v>
      </c>
      <c r="H6" s="20" t="n">
        <v>52.8</v>
      </c>
      <c r="I6" s="21" t="n">
        <v>0.091719696969697</v>
      </c>
    </row>
    <row r="7" customFormat="false" ht="15" hidden="false" customHeight="false" outlineLevel="0" collapsed="false">
      <c r="B7" s="14" t="s">
        <v>52</v>
      </c>
      <c r="C7" s="15" t="s">
        <v>54</v>
      </c>
      <c r="D7" s="16" t="n">
        <v>6583.5</v>
      </c>
      <c r="E7" s="17" t="n">
        <v>56.65</v>
      </c>
      <c r="F7" s="18" t="n">
        <v>372955.275</v>
      </c>
      <c r="G7" s="19" t="n">
        <v>6270</v>
      </c>
      <c r="H7" s="20" t="n">
        <v>55</v>
      </c>
      <c r="I7" s="21" t="n">
        <v>0.0814999999999999</v>
      </c>
    </row>
    <row r="8" customFormat="false" ht="15" hidden="false" customHeight="false" outlineLevel="0" collapsed="false">
      <c r="B8" s="14" t="s">
        <v>52</v>
      </c>
      <c r="C8" s="15" t="s">
        <v>55</v>
      </c>
      <c r="D8" s="16" t="n">
        <v>6156</v>
      </c>
      <c r="E8" s="17" t="n">
        <v>59.48</v>
      </c>
      <c r="F8" s="18" t="n">
        <v>366158.88</v>
      </c>
      <c r="G8" s="19" t="n">
        <v>5130</v>
      </c>
      <c r="H8" s="20" t="n">
        <v>57.75</v>
      </c>
      <c r="I8" s="21" t="n">
        <v>0.235948051948052</v>
      </c>
    </row>
    <row r="9" customFormat="false" ht="15" hidden="false" customHeight="false" outlineLevel="0" collapsed="false">
      <c r="B9" s="14" t="s">
        <v>56</v>
      </c>
      <c r="C9" s="15" t="s">
        <v>53</v>
      </c>
      <c r="D9" s="16" t="n">
        <v>20809.9</v>
      </c>
      <c r="E9" s="17" t="n">
        <v>21.75</v>
      </c>
      <c r="F9" s="18" t="n">
        <v>452615.325</v>
      </c>
      <c r="G9" s="19" t="n">
        <v>19632</v>
      </c>
      <c r="H9" s="20" t="n">
        <v>21.12</v>
      </c>
      <c r="I9" s="21" t="n">
        <v>0.0916182690482144</v>
      </c>
    </row>
    <row r="10" customFormat="false" ht="15" hidden="false" customHeight="false" outlineLevel="0" collapsed="false">
      <c r="B10" s="14" t="s">
        <v>56</v>
      </c>
      <c r="C10" s="15" t="s">
        <v>54</v>
      </c>
      <c r="D10" s="16" t="n">
        <v>17178</v>
      </c>
      <c r="E10" s="17" t="n">
        <v>22.66</v>
      </c>
      <c r="F10" s="18" t="n">
        <v>389253.48</v>
      </c>
      <c r="G10" s="19" t="n">
        <v>16360</v>
      </c>
      <c r="H10" s="20" t="n">
        <v>22</v>
      </c>
      <c r="I10" s="21" t="n">
        <v>0.0814999999999999</v>
      </c>
    </row>
    <row r="11" customFormat="false" ht="15" hidden="false" customHeight="false" outlineLevel="0" collapsed="false">
      <c r="B11" s="14" t="s">
        <v>56</v>
      </c>
      <c r="C11" s="15" t="s">
        <v>55</v>
      </c>
      <c r="D11" s="16" t="n">
        <v>5889.6</v>
      </c>
      <c r="E11" s="17" t="n">
        <v>23.79</v>
      </c>
      <c r="F11" s="18" t="n">
        <v>140113.584</v>
      </c>
      <c r="G11" s="19" t="n">
        <v>4908</v>
      </c>
      <c r="H11" s="20" t="n">
        <v>23.1</v>
      </c>
      <c r="I11" s="21" t="n">
        <v>0.235844155844156</v>
      </c>
    </row>
    <row r="12" customFormat="false" ht="15" hidden="false" customHeight="false" outlineLevel="0" collapsed="false">
      <c r="B12" s="14" t="s">
        <v>57</v>
      </c>
      <c r="C12" s="15" t="s">
        <v>53</v>
      </c>
      <c r="D12" s="16" t="n">
        <v>5690.1</v>
      </c>
      <c r="E12" s="17" t="n">
        <v>44.5</v>
      </c>
      <c r="F12" s="18" t="n">
        <v>253209.45</v>
      </c>
      <c r="G12" s="19" t="n">
        <v>5368</v>
      </c>
      <c r="H12" s="20" t="n">
        <v>43.2</v>
      </c>
      <c r="I12" s="21" t="n">
        <v>0.0919019860490147</v>
      </c>
    </row>
    <row r="13" customFormat="false" ht="15" hidden="false" customHeight="false" outlineLevel="0" collapsed="false">
      <c r="B13" s="14" t="s">
        <v>57</v>
      </c>
      <c r="C13" s="15" t="s">
        <v>54</v>
      </c>
      <c r="D13" s="16" t="n">
        <v>5892.6</v>
      </c>
      <c r="E13" s="17" t="n">
        <v>46.35</v>
      </c>
      <c r="F13" s="18" t="n">
        <v>273122.01</v>
      </c>
      <c r="G13" s="19" t="n">
        <v>5612</v>
      </c>
      <c r="H13" s="20" t="n">
        <v>45</v>
      </c>
      <c r="I13" s="21" t="n">
        <v>0.0815000000000001</v>
      </c>
    </row>
    <row r="14" customFormat="false" ht="15" hidden="false" customHeight="false" outlineLevel="0" collapsed="false">
      <c r="B14" s="14" t="s">
        <v>57</v>
      </c>
      <c r="C14" s="15" t="s">
        <v>55</v>
      </c>
      <c r="D14" s="16" t="n">
        <v>1464</v>
      </c>
      <c r="E14" s="17" t="n">
        <v>48.67</v>
      </c>
      <c r="F14" s="18" t="n">
        <v>71252.88</v>
      </c>
      <c r="G14" s="19" t="n">
        <v>1220</v>
      </c>
      <c r="H14" s="20" t="n">
        <v>47.25</v>
      </c>
      <c r="I14" s="21" t="n">
        <v>0.236063492063492</v>
      </c>
    </row>
    <row r="15" customFormat="false" ht="15" hidden="false" customHeight="false" outlineLevel="0" collapsed="false">
      <c r="B15" s="22" t="s">
        <v>58</v>
      </c>
      <c r="C15" s="23"/>
      <c r="D15" s="24" t="n">
        <v>77719.7</v>
      </c>
      <c r="E15" s="25" t="n">
        <v>35.4706228150649</v>
      </c>
      <c r="F15" s="26" t="n">
        <v>2756766.164</v>
      </c>
      <c r="G15" s="23"/>
      <c r="H15" s="23"/>
      <c r="I15" s="27" t="n">
        <v>0.115020303827348</v>
      </c>
    </row>
    <row r="17" customFormat="false" ht="18" hidden="false" customHeight="true" outlineLevel="0" collapsed="false">
      <c r="B17" s="5" t="s">
        <v>59</v>
      </c>
      <c r="C17" s="5"/>
      <c r="D17" s="5"/>
      <c r="E17" s="5"/>
    </row>
    <row r="18" customFormat="false" ht="15" hidden="false" customHeight="false" outlineLevel="0" collapsed="false">
      <c r="B18" s="28" t="s">
        <v>60</v>
      </c>
      <c r="D18" s="29" t="n">
        <v>18000</v>
      </c>
    </row>
    <row r="19" customFormat="false" ht="15" hidden="false" customHeight="false" outlineLevel="0" collapsed="false">
      <c r="B19" s="28" t="s">
        <v>61</v>
      </c>
      <c r="D19" s="30" t="n">
        <v>0.601986</v>
      </c>
    </row>
    <row r="20" customFormat="false" ht="15" hidden="false" customHeight="false" outlineLevel="0" collapsed="false">
      <c r="B20" s="28" t="s">
        <v>62</v>
      </c>
      <c r="D20" s="30" t="n">
        <v>0.22</v>
      </c>
    </row>
    <row r="21" customFormat="false" ht="15" hidden="false" customHeight="false" outlineLevel="0" collapsed="false">
      <c r="B21" s="28" t="s">
        <v>63</v>
      </c>
      <c r="D21" s="29" t="n">
        <v>9000</v>
      </c>
    </row>
    <row r="22" customFormat="false" ht="15" hidden="false" customHeight="false" outlineLevel="0" collapsed="false">
      <c r="B22" s="28" t="s">
        <v>64</v>
      </c>
      <c r="D22" s="29" t="n">
        <v>42000</v>
      </c>
    </row>
    <row r="23" customFormat="false" ht="15" hidden="false" customHeight="false" outlineLevel="0" collapsed="false">
      <c r="B23" s="28" t="s">
        <v>65</v>
      </c>
      <c r="D23" s="29" t="n">
        <v>78000</v>
      </c>
    </row>
    <row r="24" customFormat="false" ht="15" hidden="false" customHeight="false" outlineLevel="0" collapsed="false">
      <c r="B24" s="28" t="s">
        <v>66</v>
      </c>
      <c r="D24" s="30" t="n">
        <v>0.2</v>
      </c>
    </row>
    <row r="26" customFormat="false" ht="18" hidden="false" customHeight="true" outlineLevel="0" collapsed="false">
      <c r="B26" s="5" t="s">
        <v>67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customFormat="false" ht="15" hidden="false" customHeight="false" outlineLevel="0" collapsed="false">
      <c r="B27" s="4" t="s">
        <v>68</v>
      </c>
      <c r="C27" s="4" t="s">
        <v>69</v>
      </c>
      <c r="D27" s="4" t="s">
        <v>70</v>
      </c>
      <c r="E27" s="4" t="s">
        <v>71</v>
      </c>
      <c r="F27" s="4" t="s">
        <v>72</v>
      </c>
      <c r="G27" s="4" t="s">
        <v>73</v>
      </c>
      <c r="H27" s="4" t="s">
        <v>74</v>
      </c>
      <c r="I27" s="4" t="s">
        <v>75</v>
      </c>
      <c r="J27" s="4" t="s">
        <v>76</v>
      </c>
      <c r="K27" s="4" t="s">
        <v>77</v>
      </c>
      <c r="L27" s="4" t="s">
        <v>78</v>
      </c>
      <c r="M27" s="4" t="s">
        <v>79</v>
      </c>
      <c r="N27" s="4" t="s">
        <v>80</v>
      </c>
      <c r="O27" s="4" t="s">
        <v>81</v>
      </c>
    </row>
    <row r="28" customFormat="false" ht="15" hidden="false" customHeight="false" outlineLevel="0" collapsed="false">
      <c r="B28" s="28" t="s">
        <v>82</v>
      </c>
      <c r="C28" s="31" t="n">
        <v>7652.15212916667</v>
      </c>
      <c r="D28" s="31" t="n">
        <v>7174.17597416667</v>
      </c>
      <c r="E28" s="31" t="n">
        <v>5679.3670775</v>
      </c>
      <c r="F28" s="31" t="n">
        <v>5380.79389666667</v>
      </c>
      <c r="G28" s="31" t="n">
        <v>5679.3670775</v>
      </c>
      <c r="H28" s="31" t="n">
        <v>5978.5879225</v>
      </c>
      <c r="I28" s="31" t="n">
        <v>6097.75812916667</v>
      </c>
      <c r="J28" s="31" t="n">
        <v>5858.77005166667</v>
      </c>
      <c r="K28" s="31" t="n">
        <v>5739.599845</v>
      </c>
      <c r="L28" s="31" t="n">
        <v>5858.77005166667</v>
      </c>
      <c r="M28" s="31" t="n">
        <v>6337.39387083333</v>
      </c>
      <c r="N28" s="31" t="n">
        <v>10282.9639741667</v>
      </c>
      <c r="O28" s="31" t="n">
        <v>77719.7</v>
      </c>
    </row>
    <row r="29" customFormat="false" ht="15" hidden="false" customHeight="false" outlineLevel="0" collapsed="false">
      <c r="B29" s="28" t="s">
        <v>83</v>
      </c>
      <c r="C29" s="20" t="n">
        <v>35.4706228150649</v>
      </c>
      <c r="D29" s="20" t="n">
        <v>35.4706228150649</v>
      </c>
      <c r="E29" s="20" t="n">
        <v>35.4706228150649</v>
      </c>
      <c r="F29" s="20" t="n">
        <v>35.4706228150649</v>
      </c>
      <c r="G29" s="20" t="n">
        <v>35.4706228150649</v>
      </c>
      <c r="H29" s="20" t="n">
        <v>35.4706228150649</v>
      </c>
      <c r="I29" s="20" t="n">
        <v>35.4706228150649</v>
      </c>
      <c r="J29" s="20" t="n">
        <v>35.4706228150649</v>
      </c>
      <c r="K29" s="20" t="n">
        <v>35.4706228150649</v>
      </c>
      <c r="L29" s="20" t="n">
        <v>35.4706228150649</v>
      </c>
      <c r="M29" s="20" t="n">
        <v>35.4706228150649</v>
      </c>
      <c r="N29" s="20" t="n">
        <v>35.4706228150649</v>
      </c>
      <c r="O29" s="20" t="n">
        <v>35.4706228150649</v>
      </c>
    </row>
    <row r="30" customFormat="false" ht="15" hidden="false" customHeight="false" outlineLevel="0" collapsed="false">
      <c r="B30" s="28" t="s">
        <v>84</v>
      </c>
      <c r="C30" s="18" t="n">
        <v>271426.601897167</v>
      </c>
      <c r="D30" s="18" t="n">
        <v>254472.489988567</v>
      </c>
      <c r="E30" s="18" t="n">
        <v>201450.6874343</v>
      </c>
      <c r="F30" s="18" t="n">
        <v>190860.110754267</v>
      </c>
      <c r="G30" s="18" t="n">
        <v>201450.6874343</v>
      </c>
      <c r="H30" s="18" t="n">
        <v>212064.2371657</v>
      </c>
      <c r="I30" s="18" t="n">
        <v>216291.278617167</v>
      </c>
      <c r="J30" s="18" t="n">
        <v>207814.222662867</v>
      </c>
      <c r="K30" s="18" t="n">
        <v>203587.1812114</v>
      </c>
      <c r="L30" s="18" t="n">
        <v>207814.222662867</v>
      </c>
      <c r="M30" s="18" t="n">
        <v>224791.307622833</v>
      </c>
      <c r="N30" s="18" t="n">
        <v>364743.136548567</v>
      </c>
      <c r="O30" s="18" t="n">
        <v>2756766.164</v>
      </c>
    </row>
    <row r="31" customFormat="false" ht="15" hidden="false" customHeight="false" outlineLevel="0" collapsed="false">
      <c r="B31" s="28" t="s">
        <v>85</v>
      </c>
      <c r="C31" s="18" t="n">
        <v>-1500</v>
      </c>
      <c r="D31" s="18" t="n">
        <v>-1500</v>
      </c>
      <c r="E31" s="18" t="n">
        <v>-1500</v>
      </c>
      <c r="F31" s="18" t="n">
        <v>-1500</v>
      </c>
      <c r="G31" s="18" t="n">
        <v>-1500</v>
      </c>
      <c r="H31" s="18" t="n">
        <v>-1500</v>
      </c>
      <c r="I31" s="18" t="n">
        <v>-1500</v>
      </c>
      <c r="J31" s="18" t="n">
        <v>-1500</v>
      </c>
      <c r="K31" s="18" t="n">
        <v>-1500</v>
      </c>
      <c r="L31" s="18" t="n">
        <v>-1500</v>
      </c>
      <c r="M31" s="18" t="n">
        <v>-1500</v>
      </c>
      <c r="N31" s="18" t="n">
        <v>-1500</v>
      </c>
      <c r="O31" s="18" t="n">
        <v>-18000</v>
      </c>
    </row>
    <row r="32" customFormat="false" ht="15" hidden="false" customHeight="false" outlineLevel="0" collapsed="false">
      <c r="B32" s="32" t="s">
        <v>86</v>
      </c>
      <c r="C32" s="33" t="n">
        <v>269926.601897167</v>
      </c>
      <c r="D32" s="33" t="n">
        <v>252972.489988567</v>
      </c>
      <c r="E32" s="33" t="n">
        <v>199950.6874343</v>
      </c>
      <c r="F32" s="33" t="n">
        <v>189360.110754267</v>
      </c>
      <c r="G32" s="33" t="n">
        <v>199950.6874343</v>
      </c>
      <c r="H32" s="33" t="n">
        <v>210564.2371657</v>
      </c>
      <c r="I32" s="33" t="n">
        <v>214791.278617167</v>
      </c>
      <c r="J32" s="33" t="n">
        <v>206314.222662867</v>
      </c>
      <c r="K32" s="33" t="n">
        <v>202087.1812114</v>
      </c>
      <c r="L32" s="33" t="n">
        <v>206314.222662867</v>
      </c>
      <c r="M32" s="33" t="n">
        <v>223291.307622833</v>
      </c>
      <c r="N32" s="33" t="n">
        <v>363243.136548567</v>
      </c>
      <c r="O32" s="33" t="n">
        <v>2738766.164</v>
      </c>
    </row>
    <row r="33" customFormat="false" ht="15" hidden="false" customHeight="false" outlineLevel="0" collapsed="false">
      <c r="B33" s="28" t="s">
        <v>87</v>
      </c>
      <c r="C33" s="18" t="n">
        <v>-162492.035369668</v>
      </c>
      <c r="D33" s="18" t="n">
        <v>-152285.897358257</v>
      </c>
      <c r="E33" s="18" t="n">
        <v>-120367.514525825</v>
      </c>
      <c r="F33" s="18" t="n">
        <v>-113992.135632518</v>
      </c>
      <c r="G33" s="18" t="n">
        <v>-120367.514525825</v>
      </c>
      <c r="H33" s="18" t="n">
        <v>-126756.722874431</v>
      </c>
      <c r="I33" s="18" t="n">
        <v>-129301.342649634</v>
      </c>
      <c r="J33" s="18" t="n">
        <v>-124198.273643928</v>
      </c>
      <c r="K33" s="18" t="n">
        <v>-121653.653868726</v>
      </c>
      <c r="L33" s="18" t="n">
        <v>-124198.273643928</v>
      </c>
      <c r="M33" s="18" t="n">
        <v>-134418.241110639</v>
      </c>
      <c r="N33" s="18" t="n">
        <v>-218667.282798325</v>
      </c>
      <c r="O33" s="18" t="n">
        <v>-1648698.8880017</v>
      </c>
    </row>
    <row r="34" customFormat="false" ht="15" hidden="false" customHeight="false" outlineLevel="0" collapsed="false">
      <c r="B34" s="32" t="s">
        <v>88</v>
      </c>
      <c r="C34" s="33" t="n">
        <v>107434.566527499</v>
      </c>
      <c r="D34" s="33" t="n">
        <v>100686.592630309</v>
      </c>
      <c r="E34" s="33" t="n">
        <v>79583.1729084755</v>
      </c>
      <c r="F34" s="33" t="n">
        <v>75367.9751217487</v>
      </c>
      <c r="G34" s="33" t="n">
        <v>79583.1729084755</v>
      </c>
      <c r="H34" s="33" t="n">
        <v>83807.5142912689</v>
      </c>
      <c r="I34" s="33" t="n">
        <v>85489.935967533</v>
      </c>
      <c r="J34" s="33" t="n">
        <v>82115.9490189382</v>
      </c>
      <c r="K34" s="33" t="n">
        <v>80433.5273426742</v>
      </c>
      <c r="L34" s="33" t="n">
        <v>82115.9490189382</v>
      </c>
      <c r="M34" s="33" t="n">
        <v>88873.0665121944</v>
      </c>
      <c r="N34" s="33" t="n">
        <v>144575.853750241</v>
      </c>
      <c r="O34" s="33" t="n">
        <v>1090067.2759983</v>
      </c>
    </row>
    <row r="35" customFormat="false" ht="15" hidden="false" customHeight="false" outlineLevel="0" collapsed="false">
      <c r="B35" s="28" t="s">
        <v>89</v>
      </c>
      <c r="C35" s="18" t="n">
        <v>-59383.8524173767</v>
      </c>
      <c r="D35" s="18" t="n">
        <v>-55653.9477974847</v>
      </c>
      <c r="E35" s="18" t="n">
        <v>-43989.151235546</v>
      </c>
      <c r="F35" s="18" t="n">
        <v>-41659.2243659387</v>
      </c>
      <c r="G35" s="18" t="n">
        <v>-43989.151235546</v>
      </c>
      <c r="H35" s="18" t="n">
        <v>-46324.132176454</v>
      </c>
      <c r="I35" s="18" t="n">
        <v>-47254.0812957767</v>
      </c>
      <c r="J35" s="18" t="n">
        <v>-45389.1289858307</v>
      </c>
      <c r="K35" s="18" t="n">
        <v>-44459.179866508</v>
      </c>
      <c r="L35" s="18" t="n">
        <v>-45389.1289858307</v>
      </c>
      <c r="M35" s="18" t="n">
        <v>-49124.0876770233</v>
      </c>
      <c r="N35" s="18" t="n">
        <v>-79913.4900406847</v>
      </c>
      <c r="O35" s="18" t="n">
        <v>-602528.55608</v>
      </c>
    </row>
    <row r="36" customFormat="false" ht="15" hidden="false" customHeight="false" outlineLevel="0" collapsed="false">
      <c r="B36" s="32" t="s">
        <v>90</v>
      </c>
      <c r="C36" s="33" t="n">
        <v>48050.7141101222</v>
      </c>
      <c r="D36" s="33" t="n">
        <v>45032.6448328247</v>
      </c>
      <c r="E36" s="33" t="n">
        <v>35594.0216729295</v>
      </c>
      <c r="F36" s="33" t="n">
        <v>33708.75075581</v>
      </c>
      <c r="G36" s="33" t="n">
        <v>35594.0216729295</v>
      </c>
      <c r="H36" s="33" t="n">
        <v>37483.3821148149</v>
      </c>
      <c r="I36" s="33" t="n">
        <v>38235.8546717563</v>
      </c>
      <c r="J36" s="33" t="n">
        <v>36726.8200331075</v>
      </c>
      <c r="K36" s="33" t="n">
        <v>35974.3474761662</v>
      </c>
      <c r="L36" s="33" t="n">
        <v>36726.8200331075</v>
      </c>
      <c r="M36" s="33" t="n">
        <v>39748.978835171</v>
      </c>
      <c r="N36" s="33" t="n">
        <v>64662.3637095565</v>
      </c>
      <c r="O36" s="33" t="n">
        <v>487538.719918296</v>
      </c>
    </row>
    <row r="37" customFormat="false" ht="15" hidden="false" customHeight="false" outlineLevel="0" collapsed="false">
      <c r="B37" s="28" t="s">
        <v>91</v>
      </c>
      <c r="C37" s="21" t="n">
        <v>0.178014</v>
      </c>
      <c r="D37" s="21" t="n">
        <v>0.178014</v>
      </c>
      <c r="E37" s="21" t="n">
        <v>0.178014</v>
      </c>
      <c r="F37" s="21" t="n">
        <v>0.178014</v>
      </c>
      <c r="G37" s="21" t="n">
        <v>0.178014</v>
      </c>
      <c r="H37" s="21" t="n">
        <v>0.178014</v>
      </c>
      <c r="I37" s="21" t="n">
        <v>0.178014</v>
      </c>
      <c r="J37" s="21" t="n">
        <v>0.178014</v>
      </c>
      <c r="K37" s="21" t="n">
        <v>0.178014</v>
      </c>
      <c r="L37" s="21" t="n">
        <v>0.178014</v>
      </c>
      <c r="M37" s="21" t="n">
        <v>0.178014</v>
      </c>
      <c r="N37" s="21" t="n">
        <v>0.178014</v>
      </c>
      <c r="O37" s="21" t="n">
        <v>0.178014</v>
      </c>
    </row>
    <row r="39" customFormat="false" ht="18" hidden="false" customHeight="true" outlineLevel="0" collapsed="false">
      <c r="B39" s="5" t="s">
        <v>92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customFormat="false" ht="15" hidden="false" customHeight="false" outlineLevel="0" collapsed="false">
      <c r="B40" s="28" t="s">
        <v>93</v>
      </c>
      <c r="D40" s="33" t="n">
        <v>487538.719918296</v>
      </c>
    </row>
    <row r="41" customFormat="false" ht="15" hidden="false" customHeight="false" outlineLevel="0" collapsed="false">
      <c r="B41" s="28" t="s">
        <v>94</v>
      </c>
      <c r="D41" s="18" t="n">
        <v>45000</v>
      </c>
    </row>
    <row r="42" customFormat="false" ht="15" hidden="false" customHeight="false" outlineLevel="0" collapsed="false">
      <c r="B42" s="32" t="s">
        <v>95</v>
      </c>
      <c r="D42" s="34" t="n">
        <v>532538.719918296</v>
      </c>
    </row>
    <row r="43" customFormat="false" ht="15" hidden="false" customHeight="false" outlineLevel="0" collapsed="false">
      <c r="B43" s="28" t="s">
        <v>96</v>
      </c>
      <c r="D43" s="18" t="n">
        <v>434692</v>
      </c>
    </row>
    <row r="44" customFormat="false" ht="15" hidden="false" customHeight="false" outlineLevel="0" collapsed="false">
      <c r="B44" s="32" t="s">
        <v>97</v>
      </c>
      <c r="D44" s="35" t="n">
        <v>0.225094365477846</v>
      </c>
    </row>
    <row r="45" customFormat="false" ht="15" hidden="false" customHeight="false" outlineLevel="0" collapsed="false">
      <c r="B45" s="28" t="s">
        <v>98</v>
      </c>
      <c r="D45" s="18" t="n">
        <v>2454391</v>
      </c>
    </row>
    <row r="46" customFormat="false" ht="15" hidden="false" customHeight="false" outlineLevel="0" collapsed="false">
      <c r="B46" s="32" t="s">
        <v>99</v>
      </c>
      <c r="D46" s="35" t="n">
        <v>0.115863839135655</v>
      </c>
    </row>
    <row r="48" customFormat="false" ht="15" hidden="false" customHeight="true" outlineLevel="0" collapsed="false">
      <c r="B48" s="10" t="s">
        <v>100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customFormat="false" ht="15" hidden="false" customHeight="false" outlineLevel="0" collapsed="false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</sheetData>
  <mergeCells count="5">
    <mergeCell ref="B4:I4"/>
    <mergeCell ref="B17:E17"/>
    <mergeCell ref="B26:O26"/>
    <mergeCell ref="B39:O39"/>
    <mergeCell ref="B48:O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3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101</v>
      </c>
    </row>
    <row r="2" customFormat="false" ht="15" hidden="false" customHeight="false" outlineLevel="0" collapsed="false">
      <c r="B2" s="3" t="s">
        <v>102</v>
      </c>
    </row>
    <row r="4" customFormat="false" ht="18" hidden="false" customHeight="true" outlineLevel="0" collapsed="false">
      <c r="B4" s="5" t="s">
        <v>103</v>
      </c>
      <c r="C4" s="5"/>
      <c r="D4" s="5"/>
      <c r="E4" s="5"/>
      <c r="F4" s="5"/>
      <c r="G4" s="5"/>
    </row>
    <row r="5" customFormat="false" ht="15" hidden="false" customHeight="false" outlineLevel="0" collapsed="false">
      <c r="B5" s="4" t="s">
        <v>104</v>
      </c>
      <c r="C5" s="4" t="s">
        <v>105</v>
      </c>
      <c r="D5" s="4" t="s">
        <v>106</v>
      </c>
      <c r="E5" s="4" t="s">
        <v>107</v>
      </c>
      <c r="F5" s="4" t="s">
        <v>108</v>
      </c>
    </row>
    <row r="6" customFormat="false" ht="23.85" hidden="false" customHeight="false" outlineLevel="0" collapsed="false">
      <c r="B6" s="37" t="s">
        <v>109</v>
      </c>
      <c r="C6" s="38" t="n">
        <v>0.06</v>
      </c>
      <c r="D6" s="18" t="n">
        <v>164325.96984</v>
      </c>
      <c r="E6" s="39" t="s">
        <v>110</v>
      </c>
      <c r="F6" s="40" t="s">
        <v>111</v>
      </c>
    </row>
    <row r="7" customFormat="false" ht="15" hidden="false" customHeight="false" outlineLevel="0" collapsed="false">
      <c r="B7" s="37" t="s">
        <v>112</v>
      </c>
      <c r="C7" s="38" t="n">
        <v>0.055</v>
      </c>
      <c r="D7" s="18" t="n">
        <v>150632.13902</v>
      </c>
      <c r="E7" s="39" t="s">
        <v>113</v>
      </c>
      <c r="F7" s="40" t="s">
        <v>114</v>
      </c>
    </row>
    <row r="8" customFormat="false" ht="15" hidden="false" customHeight="false" outlineLevel="0" collapsed="false">
      <c r="B8" s="37" t="s">
        <v>115</v>
      </c>
      <c r="C8" s="38" t="n">
        <v>0.038</v>
      </c>
      <c r="D8" s="18" t="n">
        <v>104073.114232</v>
      </c>
      <c r="E8" s="39" t="s">
        <v>116</v>
      </c>
      <c r="F8" s="40" t="s">
        <v>117</v>
      </c>
    </row>
    <row r="9" customFormat="false" ht="15" hidden="false" customHeight="false" outlineLevel="0" collapsed="false">
      <c r="B9" s="37" t="s">
        <v>118</v>
      </c>
      <c r="C9" s="38" t="n">
        <v>0.022</v>
      </c>
      <c r="D9" s="18" t="n">
        <v>60252.855608</v>
      </c>
      <c r="E9" s="39" t="s">
        <v>119</v>
      </c>
      <c r="F9" s="40" t="s">
        <v>120</v>
      </c>
    </row>
    <row r="10" customFormat="false" ht="15" hidden="false" customHeight="false" outlineLevel="0" collapsed="false">
      <c r="B10" s="37" t="s">
        <v>121</v>
      </c>
      <c r="C10" s="38" t="n">
        <v>0.018</v>
      </c>
      <c r="D10" s="18" t="n">
        <v>49297.790952</v>
      </c>
      <c r="E10" s="39" t="s">
        <v>122</v>
      </c>
      <c r="F10" s="40" t="s">
        <v>123</v>
      </c>
    </row>
    <row r="11" customFormat="false" ht="23.85" hidden="false" customHeight="false" outlineLevel="0" collapsed="false">
      <c r="B11" s="37" t="s">
        <v>124</v>
      </c>
      <c r="C11" s="38" t="n">
        <v>0.027</v>
      </c>
      <c r="D11" s="18" t="n">
        <v>73946.686428</v>
      </c>
      <c r="E11" s="39" t="s">
        <v>125</v>
      </c>
      <c r="F11" s="40" t="s">
        <v>126</v>
      </c>
    </row>
    <row r="12" customFormat="false" ht="15" hidden="false" customHeight="false" outlineLevel="0" collapsed="false">
      <c r="B12" s="22" t="s">
        <v>58</v>
      </c>
      <c r="C12" s="27" t="n">
        <v>0.22</v>
      </c>
      <c r="D12" s="26" t="n">
        <v>602528.55608</v>
      </c>
      <c r="E12" s="23"/>
      <c r="F12" s="23"/>
    </row>
    <row r="13" customFormat="false" ht="15" hidden="false" customHeight="false" outlineLevel="0" collapsed="false">
      <c r="B13" s="41" t="s">
        <v>127</v>
      </c>
    </row>
    <row r="14" customFormat="false" ht="15" hidden="false" customHeight="false" outlineLevel="0" collapsed="false">
      <c r="B14" s="32" t="s">
        <v>128</v>
      </c>
      <c r="C14" s="42" t="n">
        <v>0</v>
      </c>
    </row>
  </sheetData>
  <mergeCells count="1"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129</v>
      </c>
    </row>
    <row r="2" customFormat="false" ht="15" hidden="false" customHeight="false" outlineLevel="0" collapsed="false">
      <c r="B2" s="13" t="s">
        <v>130</v>
      </c>
    </row>
    <row r="4" customFormat="false" ht="18" hidden="false" customHeight="true" outlineLevel="0" collapsed="false">
      <c r="B4" s="5" t="s">
        <v>131</v>
      </c>
      <c r="C4" s="5"/>
      <c r="D4" s="5"/>
      <c r="E4" s="5"/>
      <c r="F4" s="5"/>
    </row>
    <row r="5" customFormat="false" ht="15" hidden="false" customHeight="false" outlineLevel="0" collapsed="false">
      <c r="B5" s="4" t="s">
        <v>132</v>
      </c>
      <c r="C5" s="4" t="s">
        <v>133</v>
      </c>
      <c r="D5" s="4" t="s">
        <v>134</v>
      </c>
      <c r="E5" s="4" t="s">
        <v>135</v>
      </c>
    </row>
    <row r="6" customFormat="false" ht="15" hidden="false" customHeight="false" outlineLevel="0" collapsed="false">
      <c r="B6" s="14" t="s">
        <v>136</v>
      </c>
      <c r="C6" s="43" t="n">
        <v>0</v>
      </c>
      <c r="D6" s="43" t="n">
        <v>0</v>
      </c>
      <c r="E6" s="44" t="n">
        <v>0</v>
      </c>
    </row>
    <row r="7" customFormat="false" ht="15" hidden="false" customHeight="false" outlineLevel="0" collapsed="false">
      <c r="B7" s="14" t="s">
        <v>137</v>
      </c>
      <c r="C7" s="43" t="n">
        <v>0.04</v>
      </c>
      <c r="D7" s="43" t="n">
        <v>0.015</v>
      </c>
      <c r="E7" s="44" t="n">
        <v>-0.01</v>
      </c>
    </row>
    <row r="8" customFormat="false" ht="15" hidden="false" customHeight="false" outlineLevel="0" collapsed="false">
      <c r="B8" s="14" t="s">
        <v>138</v>
      </c>
      <c r="C8" s="43" t="n">
        <v>-0.05</v>
      </c>
      <c r="D8" s="43" t="n">
        <v>-0.01</v>
      </c>
      <c r="E8" s="44" t="n">
        <v>0.015</v>
      </c>
    </row>
    <row r="10" customFormat="false" ht="15" hidden="false" customHeight="false" outlineLevel="0" collapsed="false">
      <c r="B10" s="45" t="s">
        <v>139</v>
      </c>
      <c r="C10" s="46" t="s">
        <v>136</v>
      </c>
    </row>
    <row r="11" customFormat="false" ht="15" hidden="false" customHeight="false" outlineLevel="0" collapsed="false">
      <c r="B11" s="47" t="s">
        <v>140</v>
      </c>
      <c r="C11" s="48" t="n">
        <v>0</v>
      </c>
      <c r="D11" s="48" t="n">
        <v>0</v>
      </c>
      <c r="E11" s="49" t="n">
        <v>0</v>
      </c>
    </row>
    <row r="13" customFormat="false" ht="18" hidden="false" customHeight="true" outlineLevel="0" collapsed="false">
      <c r="B13" s="5" t="s">
        <v>141</v>
      </c>
      <c r="C13" s="5"/>
      <c r="D13" s="5"/>
      <c r="E13" s="5"/>
      <c r="F13" s="5"/>
    </row>
    <row r="14" customFormat="false" ht="15" hidden="false" customHeight="false" outlineLevel="0" collapsed="false">
      <c r="B14" s="4" t="s">
        <v>68</v>
      </c>
      <c r="C14" s="4" t="s">
        <v>136</v>
      </c>
      <c r="D14" s="4" t="s">
        <v>137</v>
      </c>
      <c r="E14" s="4" t="s">
        <v>138</v>
      </c>
    </row>
    <row r="15" customFormat="false" ht="15" hidden="false" customHeight="false" outlineLevel="0" collapsed="false">
      <c r="B15" s="28" t="s">
        <v>86</v>
      </c>
      <c r="C15" s="18" t="n">
        <v>2738766.164</v>
      </c>
      <c r="D15" s="18" t="n">
        <v>2891041.5627184</v>
      </c>
      <c r="E15" s="18" t="n">
        <v>2575809.577242</v>
      </c>
    </row>
    <row r="16" customFormat="false" ht="15" hidden="false" customHeight="false" outlineLevel="0" collapsed="false">
      <c r="B16" s="28" t="s">
        <v>87</v>
      </c>
      <c r="C16" s="18" t="n">
        <v>-1648698.8880017</v>
      </c>
      <c r="D16" s="18" t="n">
        <v>-1711456.13054741</v>
      </c>
      <c r="E16" s="18" t="n">
        <v>-1589238.44782423</v>
      </c>
    </row>
    <row r="17" customFormat="false" ht="15" hidden="false" customHeight="false" outlineLevel="0" collapsed="false">
      <c r="B17" s="32" t="s">
        <v>88</v>
      </c>
      <c r="C17" s="33" t="n">
        <v>1090067.2759983</v>
      </c>
      <c r="D17" s="33" t="n">
        <v>1179585.43217099</v>
      </c>
      <c r="E17" s="33" t="n">
        <v>986571.129417767</v>
      </c>
    </row>
    <row r="18" customFormat="false" ht="15" hidden="false" customHeight="false" outlineLevel="0" collapsed="false">
      <c r="B18" s="28" t="s">
        <v>89</v>
      </c>
      <c r="C18" s="18" t="n">
        <v>-602528.55608</v>
      </c>
      <c r="D18" s="18" t="n">
        <v>-636029.143798048</v>
      </c>
      <c r="E18" s="18" t="n">
        <v>-566678.10699324</v>
      </c>
    </row>
    <row r="19" customFormat="false" ht="15" hidden="false" customHeight="false" outlineLevel="0" collapsed="false">
      <c r="B19" s="28" t="s">
        <v>90</v>
      </c>
      <c r="C19" s="18" t="n">
        <v>487538.719918296</v>
      </c>
      <c r="D19" s="18" t="n">
        <v>543556.288372937</v>
      </c>
      <c r="E19" s="18" t="n">
        <v>419893.022424527</v>
      </c>
    </row>
    <row r="20" customFormat="false" ht="15" hidden="false" customHeight="false" outlineLevel="0" collapsed="false">
      <c r="B20" s="32" t="s">
        <v>142</v>
      </c>
      <c r="C20" s="34" t="n">
        <v>532538.719918296</v>
      </c>
      <c r="D20" s="34" t="n">
        <v>588556.288372937</v>
      </c>
      <c r="E20" s="34" t="n">
        <v>464893.022424527</v>
      </c>
    </row>
    <row r="21" customFormat="false" ht="15" hidden="false" customHeight="false" outlineLevel="0" collapsed="false">
      <c r="B21" s="28" t="s">
        <v>91</v>
      </c>
      <c r="C21" s="21" t="n">
        <v>0.194444756517846</v>
      </c>
      <c r="D21" s="21" t="n">
        <v>0.203579324476929</v>
      </c>
      <c r="E21" s="21" t="n">
        <v>0.180484235532</v>
      </c>
    </row>
    <row r="23" customFormat="false" ht="15" hidden="false" customHeight="false" outlineLevel="0" collapsed="false">
      <c r="B23" s="45" t="s">
        <v>143</v>
      </c>
      <c r="C23" s="50" t="n">
        <v>532538.719918296</v>
      </c>
    </row>
  </sheetData>
  <mergeCells count="2">
    <mergeCell ref="B4:F4"/>
    <mergeCell ref="B13:F13"/>
  </mergeCells>
  <dataValidations count="1">
    <dataValidation allowBlank="false" errorStyle="stop" operator="between" showDropDown="false" showErrorMessage="false" showInputMessage="false" sqref="C10" type="list">
      <formula1>"Base,Upside,Downside"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5" min="3" style="0" width="9.51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144</v>
      </c>
    </row>
    <row r="2" customFormat="false" ht="15" hidden="false" customHeight="false" outlineLevel="0" collapsed="false">
      <c r="B2" s="13" t="s">
        <v>145</v>
      </c>
    </row>
    <row r="4" customFormat="false" ht="18" hidden="false" customHeight="true" outlineLevel="0" collapsed="false">
      <c r="B4" s="5" t="s">
        <v>146</v>
      </c>
      <c r="C4" s="5"/>
      <c r="D4" s="5"/>
      <c r="E4" s="5"/>
      <c r="F4" s="5"/>
    </row>
    <row r="5" customFormat="false" ht="15" hidden="false" customHeight="false" outlineLevel="0" collapsed="false">
      <c r="B5" s="28" t="s">
        <v>147</v>
      </c>
      <c r="D5" s="18" t="n">
        <v>2454391</v>
      </c>
    </row>
    <row r="6" customFormat="false" ht="15" hidden="false" customHeight="false" outlineLevel="0" collapsed="false">
      <c r="B6" s="28" t="s">
        <v>148</v>
      </c>
      <c r="D6" s="30" t="n">
        <v>0.08</v>
      </c>
    </row>
    <row r="7" customFormat="false" ht="15" hidden="false" customHeight="false" outlineLevel="0" collapsed="false">
      <c r="B7" s="28" t="s">
        <v>149</v>
      </c>
      <c r="D7" s="33" t="n">
        <v>2650742.28</v>
      </c>
    </row>
    <row r="9" customFormat="false" ht="18" hidden="false" customHeight="true" outlineLevel="0" collapsed="false">
      <c r="B9" s="5" t="s">
        <v>150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5" hidden="false" customHeight="false" outlineLevel="0" collapsed="false">
      <c r="B10" s="4" t="s">
        <v>68</v>
      </c>
      <c r="C10" s="4" t="s">
        <v>69</v>
      </c>
      <c r="D10" s="4" t="s">
        <v>70</v>
      </c>
      <c r="E10" s="4" t="s">
        <v>71</v>
      </c>
      <c r="F10" s="4" t="s">
        <v>72</v>
      </c>
      <c r="G10" s="4" t="s">
        <v>73</v>
      </c>
      <c r="H10" s="4" t="s">
        <v>74</v>
      </c>
      <c r="I10" s="4" t="s">
        <v>75</v>
      </c>
      <c r="J10" s="4" t="s">
        <v>76</v>
      </c>
      <c r="K10" s="4" t="s">
        <v>77</v>
      </c>
      <c r="L10" s="4" t="s">
        <v>78</v>
      </c>
      <c r="M10" s="4" t="s">
        <v>79</v>
      </c>
      <c r="N10" s="4" t="s">
        <v>80</v>
      </c>
      <c r="O10" s="4" t="s">
        <v>81</v>
      </c>
    </row>
    <row r="11" customFormat="false" ht="15" hidden="false" customHeight="false" outlineLevel="0" collapsed="false">
      <c r="B11" s="32" t="s">
        <v>151</v>
      </c>
      <c r="C11" s="18" t="n">
        <v>260987.666985</v>
      </c>
      <c r="D11" s="18" t="n">
        <v>244685.601963</v>
      </c>
      <c r="E11" s="18" t="n">
        <v>193702.992111</v>
      </c>
      <c r="F11" s="18" t="n">
        <v>183519.723852</v>
      </c>
      <c r="G11" s="18" t="n">
        <v>193702.992111</v>
      </c>
      <c r="H11" s="18" t="n">
        <v>203908.349889</v>
      </c>
      <c r="I11" s="18" t="n">
        <v>207972.821385</v>
      </c>
      <c r="J11" s="18" t="n">
        <v>199821.788874</v>
      </c>
      <c r="K11" s="18" t="n">
        <v>195757.317378</v>
      </c>
      <c r="L11" s="18" t="n">
        <v>199821.788874</v>
      </c>
      <c r="M11" s="18" t="n">
        <v>216145.943415</v>
      </c>
      <c r="N11" s="18" t="n">
        <v>350715.293163</v>
      </c>
      <c r="O11" s="33" t="n">
        <v>2650742.28</v>
      </c>
    </row>
    <row r="12" customFormat="false" ht="15" hidden="false" customHeight="false" outlineLevel="0" collapsed="false">
      <c r="B12" s="32" t="s">
        <v>152</v>
      </c>
      <c r="C12" s="18" t="n">
        <v>269926.601897167</v>
      </c>
      <c r="D12" s="18" t="n">
        <v>252972.489988567</v>
      </c>
      <c r="E12" s="18" t="n">
        <v>199950.6874343</v>
      </c>
      <c r="F12" s="18" t="n">
        <v>189360.110754267</v>
      </c>
      <c r="G12" s="18" t="n">
        <v>199950.6874343</v>
      </c>
      <c r="H12" s="18" t="n">
        <v>210564.2371657</v>
      </c>
      <c r="I12" s="18" t="n">
        <v>214791.278617167</v>
      </c>
      <c r="J12" s="18" t="n">
        <v>206314.222662867</v>
      </c>
      <c r="K12" s="18" t="n">
        <v>202087.1812114</v>
      </c>
      <c r="L12" s="18" t="n">
        <v>206314.222662867</v>
      </c>
      <c r="M12" s="18" t="n">
        <v>223291.307622833</v>
      </c>
      <c r="N12" s="18" t="n">
        <v>363243.136548567</v>
      </c>
      <c r="O12" s="33" t="n">
        <v>2738766.164</v>
      </c>
    </row>
    <row r="13" customFormat="false" ht="15" hidden="false" customHeight="false" outlineLevel="0" collapsed="false">
      <c r="B13" s="32" t="s">
        <v>153</v>
      </c>
      <c r="C13" s="18" t="n">
        <v>-8938.93491216662</v>
      </c>
      <c r="D13" s="18" t="n">
        <v>-8286.88802556662</v>
      </c>
      <c r="E13" s="18" t="n">
        <v>-6247.69532329997</v>
      </c>
      <c r="F13" s="18" t="n">
        <v>-5840.38690226665</v>
      </c>
      <c r="G13" s="18" t="n">
        <v>-6247.69532329997</v>
      </c>
      <c r="H13" s="18" t="n">
        <v>-6655.88727669997</v>
      </c>
      <c r="I13" s="18" t="n">
        <v>-6818.45723216661</v>
      </c>
      <c r="J13" s="18" t="n">
        <v>-6492.43378886668</v>
      </c>
      <c r="K13" s="18" t="n">
        <v>-6329.86383339998</v>
      </c>
      <c r="L13" s="18" t="n">
        <v>-6492.43378886668</v>
      </c>
      <c r="M13" s="18" t="n">
        <v>-7145.36420783334</v>
      </c>
      <c r="N13" s="18" t="n">
        <v>-12527.8433855667</v>
      </c>
      <c r="O13" s="51" t="n">
        <v>-88023.8839999996</v>
      </c>
    </row>
    <row r="15" customFormat="false" ht="18" hidden="false" customHeight="true" outlineLevel="0" collapsed="false">
      <c r="B15" s="5" t="s">
        <v>154</v>
      </c>
      <c r="C15" s="5"/>
      <c r="D15" s="5"/>
      <c r="E15" s="5"/>
      <c r="F15" s="5"/>
      <c r="G15" s="5"/>
    </row>
    <row r="16" customFormat="false" ht="35.05" hidden="false" customHeight="false" outlineLevel="0" collapsed="false">
      <c r="B16" s="4" t="s">
        <v>155</v>
      </c>
      <c r="C16" s="4" t="s">
        <v>156</v>
      </c>
      <c r="D16" s="4" t="s">
        <v>157</v>
      </c>
      <c r="E16" s="4" t="s">
        <v>158</v>
      </c>
      <c r="F16" s="4" t="s">
        <v>159</v>
      </c>
    </row>
    <row r="17" customFormat="false" ht="15" hidden="false" customHeight="false" outlineLevel="0" collapsed="false">
      <c r="B17" s="37" t="s">
        <v>160</v>
      </c>
      <c r="C17" s="52" t="s">
        <v>161</v>
      </c>
      <c r="D17" s="53" t="n">
        <v>-18000</v>
      </c>
      <c r="E17" s="15" t="s">
        <v>162</v>
      </c>
      <c r="F17" s="37" t="s">
        <v>163</v>
      </c>
    </row>
    <row r="18" customFormat="false" ht="15" hidden="false" customHeight="false" outlineLevel="0" collapsed="false">
      <c r="B18" s="37" t="s">
        <v>164</v>
      </c>
      <c r="C18" s="54" t="s">
        <v>165</v>
      </c>
      <c r="D18" s="53" t="n">
        <v>12000</v>
      </c>
      <c r="E18" s="15" t="s">
        <v>166</v>
      </c>
      <c r="F18" s="37" t="s">
        <v>167</v>
      </c>
    </row>
    <row r="19" customFormat="false" ht="15" hidden="false" customHeight="false" outlineLevel="0" collapsed="false">
      <c r="B19" s="37" t="s">
        <v>168</v>
      </c>
      <c r="C19" s="52" t="s">
        <v>161</v>
      </c>
      <c r="D19" s="53" t="n">
        <v>-15000</v>
      </c>
      <c r="E19" s="15" t="s">
        <v>166</v>
      </c>
      <c r="F19" s="37" t="s">
        <v>169</v>
      </c>
    </row>
    <row r="20" customFormat="false" ht="15" hidden="false" customHeight="false" outlineLevel="0" collapsed="false">
      <c r="B20" s="37" t="s">
        <v>170</v>
      </c>
      <c r="C20" s="54" t="s">
        <v>165</v>
      </c>
      <c r="D20" s="53" t="n">
        <v>8000</v>
      </c>
      <c r="E20" s="15" t="s">
        <v>162</v>
      </c>
      <c r="F20" s="37" t="s">
        <v>171</v>
      </c>
    </row>
    <row r="21" customFormat="false" ht="15" hidden="false" customHeight="false" outlineLevel="0" collapsed="false">
      <c r="B21" s="37" t="s">
        <v>172</v>
      </c>
      <c r="C21" s="52" t="s">
        <v>161</v>
      </c>
      <c r="D21" s="53" t="n">
        <v>-6000</v>
      </c>
      <c r="E21" s="15" t="s">
        <v>173</v>
      </c>
      <c r="F21" s="37" t="s">
        <v>174</v>
      </c>
    </row>
    <row r="22" customFormat="false" ht="15" hidden="false" customHeight="false" outlineLevel="0" collapsed="false">
      <c r="B22" s="32" t="s">
        <v>175</v>
      </c>
      <c r="D22" s="34" t="n">
        <v>-19000</v>
      </c>
    </row>
    <row r="24" customFormat="false" ht="15" hidden="false" customHeight="true" outlineLevel="0" collapsed="false">
      <c r="B24" s="55" t="s">
        <v>176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</row>
    <row r="25" customFormat="false" ht="15" hidden="false" customHeight="false" outlineLevel="0" collapsed="false"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</row>
  </sheetData>
  <mergeCells count="4">
    <mergeCell ref="B4:F4"/>
    <mergeCell ref="B9:O9"/>
    <mergeCell ref="B15:G15"/>
    <mergeCell ref="B24:O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177</v>
      </c>
    </row>
    <row r="2" customFormat="false" ht="15" hidden="false" customHeight="false" outlineLevel="0" collapsed="false">
      <c r="B2" s="3" t="s">
        <v>178</v>
      </c>
    </row>
    <row r="4" customFormat="false" ht="15" hidden="false" customHeight="false" outlineLevel="0" collapsed="false">
      <c r="B4" s="45" t="s">
        <v>179</v>
      </c>
    </row>
    <row r="5" customFormat="false" ht="15" hidden="false" customHeight="false" outlineLevel="0" collapsed="false">
      <c r="B5" s="28" t="s">
        <v>180</v>
      </c>
      <c r="D5" s="38" t="n">
        <v>0.08</v>
      </c>
    </row>
    <row r="6" customFormat="false" ht="15" hidden="false" customHeight="false" outlineLevel="0" collapsed="false">
      <c r="B6" s="28" t="s">
        <v>181</v>
      </c>
      <c r="D6" s="38" t="n">
        <v>0.6</v>
      </c>
    </row>
    <row r="7" customFormat="false" ht="15" hidden="false" customHeight="false" outlineLevel="0" collapsed="false">
      <c r="B7" s="28" t="s">
        <v>182</v>
      </c>
      <c r="D7" s="38" t="n">
        <v>0.19</v>
      </c>
    </row>
    <row r="8" customFormat="false" ht="15" hidden="false" customHeight="false" outlineLevel="0" collapsed="false">
      <c r="B8" s="45" t="s">
        <v>183</v>
      </c>
    </row>
    <row r="9" customFormat="false" ht="15" hidden="false" customHeight="false" outlineLevel="0" collapsed="false">
      <c r="B9" s="28" t="s">
        <v>184</v>
      </c>
      <c r="D9" s="56" t="n">
        <v>45</v>
      </c>
    </row>
    <row r="10" customFormat="false" ht="15" hidden="false" customHeight="false" outlineLevel="0" collapsed="false">
      <c r="B10" s="28" t="s">
        <v>185</v>
      </c>
      <c r="D10" s="56" t="n">
        <v>60</v>
      </c>
    </row>
    <row r="11" customFormat="false" ht="15" hidden="false" customHeight="false" outlineLevel="0" collapsed="false">
      <c r="B11" s="28" t="s">
        <v>186</v>
      </c>
      <c r="D11" s="56" t="n">
        <v>55</v>
      </c>
    </row>
    <row r="12" customFormat="false" ht="15" hidden="false" customHeight="false" outlineLevel="0" collapsed="false">
      <c r="B12" s="28" t="s">
        <v>187</v>
      </c>
      <c r="D12" s="38" t="n">
        <v>0.01</v>
      </c>
    </row>
    <row r="13" customFormat="false" ht="15" hidden="false" customHeight="false" outlineLevel="0" collapsed="false">
      <c r="B13" s="28" t="s">
        <v>188</v>
      </c>
      <c r="D13" s="38" t="n">
        <v>0.02</v>
      </c>
    </row>
    <row r="14" customFormat="false" ht="15" hidden="false" customHeight="false" outlineLevel="0" collapsed="false">
      <c r="B14" s="45" t="s">
        <v>189</v>
      </c>
    </row>
    <row r="15" customFormat="false" ht="15" hidden="false" customHeight="false" outlineLevel="0" collapsed="false">
      <c r="B15" s="28" t="s">
        <v>190</v>
      </c>
      <c r="D15" s="38" t="n">
        <v>0.04</v>
      </c>
    </row>
    <row r="16" customFormat="false" ht="15" hidden="false" customHeight="false" outlineLevel="0" collapsed="false">
      <c r="B16" s="28" t="s">
        <v>191</v>
      </c>
      <c r="D16" s="38" t="n">
        <v>0.13</v>
      </c>
    </row>
    <row r="17" customFormat="false" ht="15" hidden="false" customHeight="false" outlineLevel="0" collapsed="false">
      <c r="B17" s="45" t="s">
        <v>192</v>
      </c>
    </row>
    <row r="18" customFormat="false" ht="15" hidden="false" customHeight="false" outlineLevel="0" collapsed="false">
      <c r="B18" s="28" t="s">
        <v>193</v>
      </c>
      <c r="D18" s="38" t="n">
        <v>0.08</v>
      </c>
    </row>
    <row r="19" customFormat="false" ht="15" hidden="false" customHeight="false" outlineLevel="0" collapsed="false">
      <c r="B19" s="28" t="s">
        <v>194</v>
      </c>
      <c r="D19" s="53" t="n">
        <v>50000</v>
      </c>
    </row>
    <row r="20" customFormat="false" ht="15" hidden="false" customHeight="false" outlineLevel="0" collapsed="false">
      <c r="B20" s="28" t="s">
        <v>195</v>
      </c>
      <c r="D20" s="38" t="n">
        <v>0.4</v>
      </c>
    </row>
    <row r="21" customFormat="false" ht="15" hidden="false" customHeight="false" outlineLevel="0" collapsed="false">
      <c r="B21" s="28" t="s">
        <v>196</v>
      </c>
      <c r="D21" s="30" t="n">
        <v>0.2</v>
      </c>
    </row>
    <row r="22" customFormat="false" ht="15" hidden="false" customHeight="false" outlineLevel="0" collapsed="false">
      <c r="B22" s="28" t="s">
        <v>197</v>
      </c>
      <c r="D22" s="29" t="n">
        <v>9000</v>
      </c>
    </row>
    <row r="23" customFormat="false" ht="15" hidden="false" customHeight="false" outlineLevel="0" collapsed="false">
      <c r="B23" s="28" t="s">
        <v>198</v>
      </c>
      <c r="D23" s="38" t="n">
        <v>0.11</v>
      </c>
    </row>
    <row r="24" customFormat="false" ht="15" hidden="false" customHeight="false" outlineLevel="0" collapsed="false">
      <c r="B24" s="45" t="s">
        <v>199</v>
      </c>
    </row>
    <row r="25" customFormat="false" ht="15" hidden="false" customHeight="false" outlineLevel="0" collapsed="false">
      <c r="B25" s="28" t="s">
        <v>200</v>
      </c>
      <c r="D25" s="53" t="n">
        <v>200000</v>
      </c>
    </row>
    <row r="26" customFormat="false" ht="15" hidden="false" customHeight="false" outlineLevel="0" collapsed="false">
      <c r="B26" s="28" t="s">
        <v>201</v>
      </c>
      <c r="D26" s="53" t="n">
        <v>300000</v>
      </c>
    </row>
    <row r="27" customFormat="false" ht="15" hidden="false" customHeight="false" outlineLevel="0" collapsed="false">
      <c r="B27" s="28" t="s">
        <v>202</v>
      </c>
      <c r="D27" s="53" t="n">
        <v>250000</v>
      </c>
    </row>
    <row r="28" customFormat="false" ht="15" hidden="false" customHeight="false" outlineLevel="0" collapsed="false">
      <c r="B28" s="28" t="s">
        <v>203</v>
      </c>
      <c r="D28" s="53" t="n">
        <v>25000</v>
      </c>
    </row>
    <row r="29" customFormat="false" ht="15" hidden="false" customHeight="false" outlineLevel="0" collapsed="false">
      <c r="B29" s="28" t="s">
        <v>204</v>
      </c>
      <c r="D29" s="53" t="n">
        <v>600000</v>
      </c>
    </row>
    <row r="30" customFormat="false" ht="15" hidden="false" customHeight="false" outlineLevel="0" collapsed="false">
      <c r="B30" s="28" t="s">
        <v>205</v>
      </c>
      <c r="D30" s="53" t="n">
        <v>230000</v>
      </c>
    </row>
    <row r="31" customFormat="false" ht="15" hidden="false" customHeight="false" outlineLevel="0" collapsed="false">
      <c r="B31" s="28" t="s">
        <v>206</v>
      </c>
      <c r="D31" s="53" t="n">
        <v>50000</v>
      </c>
    </row>
    <row r="32" customFormat="false" ht="15" hidden="false" customHeight="false" outlineLevel="0" collapsed="false">
      <c r="B32" s="28" t="s">
        <v>207</v>
      </c>
      <c r="D32" s="53" t="n">
        <v>525000</v>
      </c>
    </row>
    <row r="33" customFormat="false" ht="15" hidden="false" customHeight="false" outlineLevel="0" collapsed="false">
      <c r="B33" s="28" t="s">
        <v>208</v>
      </c>
      <c r="D33" s="53" t="n">
        <v>300000</v>
      </c>
    </row>
    <row r="34" customFormat="false" ht="15" hidden="false" customHeight="false" outlineLevel="0" collapsed="false">
      <c r="B34" s="28" t="s">
        <v>209</v>
      </c>
      <c r="D34" s="53" t="n">
        <v>270000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210</v>
      </c>
    </row>
    <row r="2" customFormat="false" ht="15" hidden="false" customHeight="false" outlineLevel="0" collapsed="false">
      <c r="B2" s="13" t="s">
        <v>211</v>
      </c>
    </row>
    <row r="4" customFormat="false" ht="18" hidden="false" customHeight="true" outlineLevel="0" collapsed="false">
      <c r="B4" s="5" t="s">
        <v>212</v>
      </c>
      <c r="C4" s="5"/>
      <c r="D4" s="5"/>
      <c r="E4" s="5"/>
      <c r="F4" s="5"/>
      <c r="G4" s="5"/>
    </row>
    <row r="5" customFormat="false" ht="15" hidden="false" customHeight="false" outlineLevel="0" collapsed="false">
      <c r="B5" s="4" t="s">
        <v>68</v>
      </c>
      <c r="C5" s="4" t="s">
        <v>213</v>
      </c>
      <c r="D5" s="4" t="s">
        <v>214</v>
      </c>
      <c r="E5" s="4" t="s">
        <v>215</v>
      </c>
      <c r="F5" s="4" t="s">
        <v>216</v>
      </c>
      <c r="G5" s="4" t="s">
        <v>217</v>
      </c>
    </row>
    <row r="6" customFormat="false" ht="15" hidden="false" customHeight="false" outlineLevel="0" collapsed="false">
      <c r="B6" s="28" t="s">
        <v>86</v>
      </c>
      <c r="D6" s="29" t="n">
        <v>2454391</v>
      </c>
      <c r="E6" s="29" t="n">
        <v>2738766</v>
      </c>
      <c r="F6" s="18" t="n">
        <v>2957867.28</v>
      </c>
      <c r="G6" s="18" t="n">
        <v>3194496.6624</v>
      </c>
    </row>
    <row r="7" customFormat="false" ht="15" hidden="false" customHeight="false" outlineLevel="0" collapsed="false">
      <c r="B7" s="28" t="s">
        <v>87</v>
      </c>
      <c r="D7" s="29" t="n">
        <v>-1524733</v>
      </c>
      <c r="E7" s="29" t="n">
        <v>-1648699</v>
      </c>
      <c r="F7" s="18" t="n">
        <v>-1774720.368</v>
      </c>
      <c r="G7" s="18" t="n">
        <v>-1916697.99744</v>
      </c>
    </row>
    <row r="8" customFormat="false" ht="15" hidden="false" customHeight="false" outlineLevel="0" collapsed="false">
      <c r="B8" s="32" t="s">
        <v>88</v>
      </c>
      <c r="D8" s="33" t="n">
        <v>929658</v>
      </c>
      <c r="E8" s="33" t="n">
        <v>1090067</v>
      </c>
      <c r="F8" s="33" t="n">
        <v>1183146.912</v>
      </c>
      <c r="G8" s="33" t="n">
        <v>1277798.66496</v>
      </c>
    </row>
    <row r="9" customFormat="false" ht="15" hidden="false" customHeight="false" outlineLevel="0" collapsed="false">
      <c r="B9" s="28" t="s">
        <v>218</v>
      </c>
      <c r="D9" s="29" t="n">
        <v>-461966</v>
      </c>
      <c r="E9" s="29" t="n">
        <v>-524529</v>
      </c>
      <c r="F9" s="18" t="n">
        <v>-561994.7832</v>
      </c>
      <c r="G9" s="18" t="n">
        <v>-606954.365856</v>
      </c>
    </row>
    <row r="10" customFormat="false" ht="15" hidden="false" customHeight="false" outlineLevel="0" collapsed="false">
      <c r="B10" s="32" t="s">
        <v>219</v>
      </c>
      <c r="D10" s="33" t="n">
        <v>467692</v>
      </c>
      <c r="E10" s="33" t="n">
        <v>565538</v>
      </c>
      <c r="F10" s="33" t="n">
        <v>621152.1288</v>
      </c>
      <c r="G10" s="33" t="n">
        <v>670844.299104</v>
      </c>
    </row>
    <row r="11" customFormat="false" ht="15" hidden="false" customHeight="false" outlineLevel="0" collapsed="false">
      <c r="B11" s="28" t="s">
        <v>220</v>
      </c>
      <c r="D11" s="18" t="n">
        <v>-78000</v>
      </c>
      <c r="E11" s="18" t="n">
        <v>-78000</v>
      </c>
      <c r="F11" s="18" t="n">
        <v>-84724.4164</v>
      </c>
      <c r="G11" s="18" t="n">
        <v>-89091.152124</v>
      </c>
    </row>
    <row r="12" customFormat="false" ht="15" hidden="false" customHeight="false" outlineLevel="0" collapsed="false">
      <c r="B12" s="32" t="s">
        <v>221</v>
      </c>
      <c r="D12" s="33" t="n">
        <v>389692</v>
      </c>
      <c r="E12" s="33" t="n">
        <v>487538</v>
      </c>
      <c r="F12" s="33" t="n">
        <v>536427.7124</v>
      </c>
      <c r="G12" s="33" t="n">
        <v>581753.14698</v>
      </c>
    </row>
    <row r="13" customFormat="false" ht="15" hidden="false" customHeight="false" outlineLevel="0" collapsed="false">
      <c r="B13" s="28" t="s">
        <v>63</v>
      </c>
      <c r="D13" s="18" t="n">
        <v>9000</v>
      </c>
      <c r="E13" s="18" t="n">
        <v>9000</v>
      </c>
      <c r="F13" s="18" t="n">
        <v>9000</v>
      </c>
      <c r="G13" s="18" t="n">
        <v>9000</v>
      </c>
    </row>
    <row r="14" customFormat="false" ht="15" hidden="false" customHeight="false" outlineLevel="0" collapsed="false">
      <c r="B14" s="28" t="s">
        <v>222</v>
      </c>
      <c r="D14" s="29" t="n">
        <v>-42000</v>
      </c>
      <c r="E14" s="29" t="n">
        <v>-42000</v>
      </c>
      <c r="F14" s="18" t="n">
        <v>-34000</v>
      </c>
      <c r="G14" s="18" t="n">
        <v>-30000</v>
      </c>
    </row>
    <row r="15" customFormat="false" ht="15" hidden="false" customHeight="false" outlineLevel="0" collapsed="false">
      <c r="B15" s="28" t="s">
        <v>223</v>
      </c>
      <c r="D15" s="33" t="n">
        <v>356692</v>
      </c>
      <c r="E15" s="33" t="n">
        <v>454538</v>
      </c>
      <c r="F15" s="33" t="n">
        <v>511427.7124</v>
      </c>
      <c r="G15" s="33" t="n">
        <v>560753.14698</v>
      </c>
    </row>
    <row r="16" customFormat="false" ht="15" hidden="false" customHeight="false" outlineLevel="0" collapsed="false">
      <c r="B16" s="28" t="s">
        <v>224</v>
      </c>
      <c r="D16" s="18" t="n">
        <v>-71338.4</v>
      </c>
      <c r="E16" s="18" t="n">
        <v>-90907.6</v>
      </c>
      <c r="F16" s="18" t="n">
        <v>-102285.54248</v>
      </c>
      <c r="G16" s="18" t="n">
        <v>-112150.629396</v>
      </c>
    </row>
    <row r="17" customFormat="false" ht="15" hidden="false" customHeight="false" outlineLevel="0" collapsed="false">
      <c r="B17" s="32" t="s">
        <v>225</v>
      </c>
      <c r="D17" s="57" t="n">
        <v>285353.6</v>
      </c>
      <c r="E17" s="57" t="n">
        <v>363630.4</v>
      </c>
      <c r="F17" s="57" t="n">
        <v>409142.16992</v>
      </c>
      <c r="G17" s="57" t="n">
        <v>448602.517584</v>
      </c>
    </row>
    <row r="19" customFormat="false" ht="18" hidden="false" customHeight="true" outlineLevel="0" collapsed="false">
      <c r="B19" s="5" t="s">
        <v>226</v>
      </c>
      <c r="C19" s="5"/>
      <c r="D19" s="5"/>
      <c r="E19" s="5"/>
      <c r="F19" s="5"/>
      <c r="G19" s="5"/>
    </row>
    <row r="20" customFormat="false" ht="15" hidden="false" customHeight="false" outlineLevel="0" collapsed="false">
      <c r="B20" s="4" t="s">
        <v>68</v>
      </c>
      <c r="C20" s="4" t="s">
        <v>213</v>
      </c>
      <c r="D20" s="4" t="s">
        <v>214</v>
      </c>
      <c r="E20" s="4" t="s">
        <v>215</v>
      </c>
      <c r="F20" s="4" t="s">
        <v>216</v>
      </c>
      <c r="G20" s="4" t="s">
        <v>217</v>
      </c>
    </row>
    <row r="21" customFormat="false" ht="15" hidden="false" customHeight="false" outlineLevel="0" collapsed="false">
      <c r="B21" s="28" t="s">
        <v>204</v>
      </c>
      <c r="D21" s="18" t="n">
        <v>600000</v>
      </c>
      <c r="E21" s="18" t="n">
        <v>620175.64</v>
      </c>
      <c r="F21" s="18" t="n">
        <v>651726.28</v>
      </c>
      <c r="G21" s="18" t="n">
        <v>685316.5548</v>
      </c>
    </row>
    <row r="22" customFormat="false" ht="15" hidden="false" customHeight="false" outlineLevel="0" collapsed="false">
      <c r="B22" s="28" t="s">
        <v>227</v>
      </c>
      <c r="D22" s="18" t="n">
        <v>98175.64</v>
      </c>
      <c r="E22" s="18" t="n">
        <v>109550.64</v>
      </c>
      <c r="F22" s="18" t="n">
        <v>118314.6912</v>
      </c>
      <c r="G22" s="18" t="n">
        <v>127779.866496</v>
      </c>
    </row>
    <row r="23" customFormat="false" ht="15" hidden="false" customHeight="false" outlineLevel="0" collapsed="false">
      <c r="B23" s="28" t="s">
        <v>228</v>
      </c>
      <c r="D23" s="29" t="n">
        <v>-78000</v>
      </c>
      <c r="E23" s="29" t="n">
        <v>-78000</v>
      </c>
      <c r="F23" s="18" t="n">
        <v>-84724.4164</v>
      </c>
      <c r="G23" s="18" t="n">
        <v>-89091.152124</v>
      </c>
    </row>
    <row r="24" customFormat="false" ht="15" hidden="false" customHeight="false" outlineLevel="0" collapsed="false">
      <c r="B24" s="32" t="s">
        <v>229</v>
      </c>
      <c r="D24" s="33" t="n">
        <v>620175.64</v>
      </c>
      <c r="E24" s="33" t="n">
        <v>651726.28</v>
      </c>
      <c r="F24" s="33" t="n">
        <v>685316.5548</v>
      </c>
      <c r="G24" s="33" t="n">
        <v>724005.269172</v>
      </c>
    </row>
    <row r="26" customFormat="false" ht="15" hidden="false" customHeight="false" outlineLevel="0" collapsed="false">
      <c r="B26" s="28" t="s">
        <v>207</v>
      </c>
      <c r="D26" s="18" t="n">
        <v>525000</v>
      </c>
      <c r="E26" s="18" t="n">
        <v>475000</v>
      </c>
      <c r="F26" s="18" t="n">
        <v>425000</v>
      </c>
      <c r="G26" s="18" t="n">
        <v>375000</v>
      </c>
    </row>
    <row r="27" customFormat="false" ht="15" hidden="false" customHeight="false" outlineLevel="0" collapsed="false">
      <c r="B27" s="28" t="s">
        <v>230</v>
      </c>
      <c r="D27" s="18" t="n">
        <v>-50000</v>
      </c>
      <c r="E27" s="18" t="n">
        <v>-50000</v>
      </c>
      <c r="F27" s="18" t="n">
        <v>-50000</v>
      </c>
      <c r="G27" s="18" t="n">
        <v>-50000</v>
      </c>
    </row>
    <row r="28" customFormat="false" ht="15" hidden="false" customHeight="false" outlineLevel="0" collapsed="false">
      <c r="B28" s="32" t="s">
        <v>231</v>
      </c>
      <c r="D28" s="33" t="n">
        <v>475000</v>
      </c>
      <c r="E28" s="33" t="n">
        <v>425000</v>
      </c>
      <c r="F28" s="33" t="n">
        <v>375000</v>
      </c>
      <c r="G28" s="33" t="n">
        <v>325000</v>
      </c>
    </row>
    <row r="30" customFormat="false" ht="15" hidden="false" customHeight="false" outlineLevel="0" collapsed="false">
      <c r="B30" s="28" t="s">
        <v>232</v>
      </c>
      <c r="D30" s="18" t="n">
        <v>114141.44</v>
      </c>
      <c r="E30" s="18" t="n">
        <v>145452.16</v>
      </c>
      <c r="F30" s="18" t="n">
        <v>163656.867968</v>
      </c>
      <c r="G30" s="18" t="n">
        <v>179441.0070336</v>
      </c>
    </row>
    <row r="33" customFormat="false" ht="15" hidden="false" customHeight="false" outlineLevel="0" collapsed="false">
      <c r="B33" s="2" t="s">
        <v>233</v>
      </c>
      <c r="D33" s="18" t="n">
        <v>78000</v>
      </c>
      <c r="E33" s="18" t="n">
        <v>78000</v>
      </c>
      <c r="F33" s="18" t="n">
        <v>84724.4164</v>
      </c>
      <c r="G33" s="18" t="n">
        <v>89091.152124</v>
      </c>
    </row>
    <row r="35" customFormat="false" ht="18" hidden="false" customHeight="true" outlineLevel="0" collapsed="false">
      <c r="B35" s="5" t="s">
        <v>234</v>
      </c>
      <c r="C35" s="5"/>
      <c r="D35" s="5"/>
      <c r="E35" s="5"/>
      <c r="F35" s="5"/>
      <c r="G35" s="5"/>
    </row>
    <row r="36" customFormat="false" ht="15" hidden="false" customHeight="false" outlineLevel="0" collapsed="false">
      <c r="B36" s="4" t="s">
        <v>68</v>
      </c>
      <c r="C36" s="4" t="s">
        <v>213</v>
      </c>
      <c r="D36" s="4" t="s">
        <v>214</v>
      </c>
      <c r="E36" s="4" t="s">
        <v>215</v>
      </c>
      <c r="F36" s="4" t="s">
        <v>216</v>
      </c>
      <c r="G36" s="4" t="s">
        <v>217</v>
      </c>
    </row>
    <row r="37" customFormat="false" ht="15" hidden="false" customHeight="false" outlineLevel="0" collapsed="false">
      <c r="B37" s="28" t="s">
        <v>235</v>
      </c>
      <c r="C37" s="18" t="n">
        <v>200000</v>
      </c>
      <c r="D37" s="18" t="n">
        <v>297097.525890411</v>
      </c>
      <c r="E37" s="18" t="n">
        <v>399810.78</v>
      </c>
      <c r="F37" s="18" t="n">
        <v>535158.013267069</v>
      </c>
      <c r="G37" s="18" t="n">
        <v>686878.718734674</v>
      </c>
    </row>
    <row r="38" customFormat="false" ht="15" hidden="false" customHeight="false" outlineLevel="0" collapsed="false">
      <c r="B38" s="28" t="s">
        <v>236</v>
      </c>
      <c r="C38" s="18" t="n">
        <v>300000</v>
      </c>
      <c r="D38" s="18" t="n">
        <v>302596.150684932</v>
      </c>
      <c r="E38" s="18" t="n">
        <v>337656.082191781</v>
      </c>
      <c r="F38" s="18" t="n">
        <v>364668.568767123</v>
      </c>
      <c r="G38" s="18" t="n">
        <v>393842.054268493</v>
      </c>
    </row>
    <row r="39" customFormat="false" ht="15" hidden="false" customHeight="false" outlineLevel="0" collapsed="false">
      <c r="B39" s="28" t="s">
        <v>237</v>
      </c>
      <c r="C39" s="18" t="n">
        <v>250000</v>
      </c>
      <c r="D39" s="18" t="n">
        <v>250641.04109589</v>
      </c>
      <c r="E39" s="18" t="n">
        <v>271019.01369863</v>
      </c>
      <c r="F39" s="18" t="n">
        <v>291734.855013699</v>
      </c>
      <c r="G39" s="18" t="n">
        <v>315073.643414795</v>
      </c>
    </row>
    <row r="40" customFormat="false" ht="15" hidden="false" customHeight="false" outlineLevel="0" collapsed="false">
      <c r="B40" s="28" t="s">
        <v>238</v>
      </c>
      <c r="C40" s="18" t="n">
        <v>25000</v>
      </c>
      <c r="D40" s="18" t="n">
        <v>24543.91</v>
      </c>
      <c r="E40" s="18" t="n">
        <v>27387.66</v>
      </c>
      <c r="F40" s="18" t="n">
        <v>29578.6728</v>
      </c>
      <c r="G40" s="18" t="n">
        <v>31944.966624</v>
      </c>
    </row>
    <row r="41" customFormat="false" ht="15" hidden="false" customHeight="false" outlineLevel="0" collapsed="false">
      <c r="B41" s="28" t="s">
        <v>239</v>
      </c>
      <c r="C41" s="18" t="n">
        <v>600000</v>
      </c>
      <c r="D41" s="18" t="n">
        <v>620175.64</v>
      </c>
      <c r="E41" s="18" t="n">
        <v>651726.28</v>
      </c>
      <c r="F41" s="18" t="n">
        <v>685316.5548</v>
      </c>
      <c r="G41" s="18" t="n">
        <v>724005.269172</v>
      </c>
    </row>
    <row r="42" customFormat="false" ht="15" hidden="false" customHeight="false" outlineLevel="0" collapsed="false">
      <c r="B42" s="32" t="s">
        <v>240</v>
      </c>
      <c r="C42" s="33" t="n">
        <v>1375000</v>
      </c>
      <c r="D42" s="33" t="n">
        <v>1495054.26767123</v>
      </c>
      <c r="E42" s="33" t="n">
        <v>1687599.81589041</v>
      </c>
      <c r="F42" s="33" t="n">
        <v>1906456.66464789</v>
      </c>
      <c r="G42" s="33" t="n">
        <v>2151744.65221396</v>
      </c>
    </row>
    <row r="43" customFormat="false" ht="15" hidden="false" customHeight="false" outlineLevel="0" collapsed="false">
      <c r="B43" s="28" t="s">
        <v>241</v>
      </c>
      <c r="C43" s="18" t="n">
        <v>230000</v>
      </c>
      <c r="D43" s="18" t="n">
        <v>229754.287671233</v>
      </c>
      <c r="E43" s="18" t="n">
        <v>248434.095890411</v>
      </c>
      <c r="F43" s="18" t="n">
        <v>267423.61709589</v>
      </c>
      <c r="G43" s="18" t="n">
        <v>288817.506463562</v>
      </c>
    </row>
    <row r="44" customFormat="false" ht="15" hidden="false" customHeight="false" outlineLevel="0" collapsed="false">
      <c r="B44" s="28" t="s">
        <v>242</v>
      </c>
      <c r="C44" s="18" t="n">
        <v>50000</v>
      </c>
      <c r="D44" s="18" t="n">
        <v>49087.82</v>
      </c>
      <c r="E44" s="18" t="n">
        <v>54775.32</v>
      </c>
      <c r="F44" s="18" t="n">
        <v>59157.3456</v>
      </c>
      <c r="G44" s="18" t="n">
        <v>63889.933248</v>
      </c>
    </row>
    <row r="45" customFormat="false" ht="15" hidden="false" customHeight="false" outlineLevel="0" collapsed="false">
      <c r="B45" s="28" t="s">
        <v>243</v>
      </c>
      <c r="C45" s="18" t="n">
        <v>525000</v>
      </c>
      <c r="D45" s="18" t="n">
        <v>475000</v>
      </c>
      <c r="E45" s="18" t="n">
        <v>425000</v>
      </c>
      <c r="F45" s="18" t="n">
        <v>375000</v>
      </c>
      <c r="G45" s="18" t="n">
        <v>325000</v>
      </c>
    </row>
    <row r="46" customFormat="false" ht="15" hidden="false" customHeight="false" outlineLevel="0" collapsed="false">
      <c r="B46" s="32" t="s">
        <v>244</v>
      </c>
      <c r="C46" s="33" t="n">
        <v>805000</v>
      </c>
      <c r="D46" s="33" t="n">
        <v>753842.107671233</v>
      </c>
      <c r="E46" s="33" t="n">
        <v>728209.415890411</v>
      </c>
      <c r="F46" s="33" t="n">
        <v>701580.96269589</v>
      </c>
      <c r="G46" s="33" t="n">
        <v>677707.439711562</v>
      </c>
    </row>
    <row r="47" customFormat="false" ht="15" hidden="false" customHeight="false" outlineLevel="0" collapsed="false">
      <c r="B47" s="28" t="s">
        <v>208</v>
      </c>
      <c r="C47" s="18" t="n">
        <v>300000</v>
      </c>
      <c r="D47" s="18" t="n">
        <v>300000</v>
      </c>
      <c r="E47" s="18" t="n">
        <v>300000</v>
      </c>
      <c r="F47" s="18" t="n">
        <v>300000</v>
      </c>
      <c r="G47" s="18" t="n">
        <v>300000</v>
      </c>
    </row>
    <row r="48" customFormat="false" ht="15" hidden="false" customHeight="false" outlineLevel="0" collapsed="false">
      <c r="B48" s="28" t="s">
        <v>245</v>
      </c>
      <c r="C48" s="18" t="n">
        <v>270000</v>
      </c>
      <c r="D48" s="18" t="n">
        <v>441212.16</v>
      </c>
      <c r="E48" s="18" t="n">
        <v>659390.4</v>
      </c>
      <c r="F48" s="18" t="n">
        <v>904875.701952</v>
      </c>
      <c r="G48" s="18" t="n">
        <v>1174037.2125024</v>
      </c>
    </row>
    <row r="49" customFormat="false" ht="15" hidden="false" customHeight="false" outlineLevel="0" collapsed="false">
      <c r="B49" s="32" t="s">
        <v>246</v>
      </c>
      <c r="C49" s="33" t="n">
        <v>570000</v>
      </c>
      <c r="D49" s="33" t="n">
        <v>741212.16</v>
      </c>
      <c r="E49" s="33" t="n">
        <v>959390.4</v>
      </c>
      <c r="F49" s="33" t="n">
        <v>1204875.701952</v>
      </c>
      <c r="G49" s="33" t="n">
        <v>1474037.2125024</v>
      </c>
    </row>
    <row r="50" customFormat="false" ht="15" hidden="false" customHeight="false" outlineLevel="0" collapsed="false">
      <c r="B50" s="32" t="s">
        <v>247</v>
      </c>
      <c r="C50" s="33" t="n">
        <v>1375000</v>
      </c>
      <c r="D50" s="33" t="n">
        <v>1495054.26767123</v>
      </c>
      <c r="E50" s="33" t="n">
        <v>1687599.81589041</v>
      </c>
      <c r="F50" s="33" t="n">
        <v>1906456.66464789</v>
      </c>
      <c r="G50" s="33" t="n">
        <v>2151744.65221396</v>
      </c>
    </row>
    <row r="51" customFormat="false" ht="15" hidden="false" customHeight="false" outlineLevel="0" collapsed="false">
      <c r="B51" s="32" t="s">
        <v>248</v>
      </c>
      <c r="C51" s="58" t="n">
        <v>0</v>
      </c>
      <c r="D51" s="59" t="n">
        <v>0</v>
      </c>
      <c r="E51" s="59" t="n">
        <v>0</v>
      </c>
      <c r="F51" s="59" t="n">
        <v>0</v>
      </c>
      <c r="G51" s="59" t="n">
        <v>0</v>
      </c>
    </row>
    <row r="52" customFormat="false" ht="18" hidden="false" customHeight="true" outlineLevel="0" collapsed="false">
      <c r="B52" s="5" t="s">
        <v>249</v>
      </c>
      <c r="C52" s="5"/>
      <c r="D52" s="5"/>
      <c r="E52" s="5"/>
      <c r="F52" s="5"/>
      <c r="G52" s="5"/>
    </row>
    <row r="53" customFormat="false" ht="15" hidden="false" customHeight="false" outlineLevel="0" collapsed="false">
      <c r="B53" s="4" t="s">
        <v>68</v>
      </c>
      <c r="C53" s="4" t="s">
        <v>213</v>
      </c>
      <c r="D53" s="4" t="s">
        <v>214</v>
      </c>
      <c r="E53" s="4" t="s">
        <v>215</v>
      </c>
      <c r="F53" s="4" t="s">
        <v>216</v>
      </c>
      <c r="G53" s="4" t="s">
        <v>217</v>
      </c>
    </row>
    <row r="54" customFormat="false" ht="15" hidden="false" customHeight="false" outlineLevel="0" collapsed="false">
      <c r="B54" s="28" t="s">
        <v>225</v>
      </c>
      <c r="D54" s="18" t="n">
        <v>285353.6</v>
      </c>
      <c r="E54" s="18" t="n">
        <v>363630.4</v>
      </c>
      <c r="F54" s="18" t="n">
        <v>409142.16992</v>
      </c>
      <c r="G54" s="18" t="n">
        <v>448602.517584</v>
      </c>
    </row>
    <row r="55" customFormat="false" ht="15" hidden="false" customHeight="false" outlineLevel="0" collapsed="false">
      <c r="B55" s="28" t="s">
        <v>250</v>
      </c>
      <c r="D55" s="18" t="n">
        <v>78000</v>
      </c>
      <c r="E55" s="18" t="n">
        <v>78000</v>
      </c>
      <c r="F55" s="18" t="n">
        <v>84724.4164</v>
      </c>
      <c r="G55" s="18" t="n">
        <v>89091.152124</v>
      </c>
    </row>
    <row r="56" customFormat="false" ht="15" hidden="false" customHeight="false" outlineLevel="0" collapsed="false">
      <c r="B56" s="28" t="s">
        <v>251</v>
      </c>
      <c r="D56" s="18" t="n">
        <v>-2596.15068493149</v>
      </c>
      <c r="E56" s="18" t="n">
        <v>-35059.9315068493</v>
      </c>
      <c r="F56" s="18" t="n">
        <v>-27012.4865753425</v>
      </c>
      <c r="G56" s="18" t="n">
        <v>-29173.4855013699</v>
      </c>
    </row>
    <row r="57" customFormat="false" ht="15" hidden="false" customHeight="false" outlineLevel="0" collapsed="false">
      <c r="B57" s="28" t="s">
        <v>252</v>
      </c>
      <c r="D57" s="18" t="n">
        <v>-641.041095890396</v>
      </c>
      <c r="E57" s="18" t="n">
        <v>-20377.9726027397</v>
      </c>
      <c r="F57" s="18" t="n">
        <v>-20715.8413150685</v>
      </c>
      <c r="G57" s="18" t="n">
        <v>-23338.7884010959</v>
      </c>
    </row>
    <row r="58" customFormat="false" ht="15" hidden="false" customHeight="false" outlineLevel="0" collapsed="false">
      <c r="B58" s="28" t="s">
        <v>253</v>
      </c>
      <c r="D58" s="18" t="n">
        <v>456.09</v>
      </c>
      <c r="E58" s="18" t="n">
        <v>-2843.75</v>
      </c>
      <c r="F58" s="18" t="n">
        <v>-2191.0128</v>
      </c>
      <c r="G58" s="18" t="n">
        <v>-2366.293824</v>
      </c>
    </row>
    <row r="59" customFormat="false" ht="15" hidden="false" customHeight="false" outlineLevel="0" collapsed="false">
      <c r="B59" s="28" t="s">
        <v>254</v>
      </c>
      <c r="D59" s="18" t="n">
        <v>-245.712328767142</v>
      </c>
      <c r="E59" s="18" t="n">
        <v>18679.8082191781</v>
      </c>
      <c r="F59" s="18" t="n">
        <v>18989.5212054795</v>
      </c>
      <c r="G59" s="18" t="n">
        <v>21393.8893676712</v>
      </c>
    </row>
    <row r="60" customFormat="false" ht="15" hidden="false" customHeight="false" outlineLevel="0" collapsed="false">
      <c r="B60" s="28" t="s">
        <v>255</v>
      </c>
      <c r="D60" s="18" t="n">
        <v>-912.18</v>
      </c>
      <c r="E60" s="18" t="n">
        <v>5687.5</v>
      </c>
      <c r="F60" s="18" t="n">
        <v>4382.02560000001</v>
      </c>
      <c r="G60" s="18" t="n">
        <v>4732.587648</v>
      </c>
    </row>
    <row r="61" customFormat="false" ht="15" hidden="false" customHeight="false" outlineLevel="0" collapsed="false">
      <c r="B61" s="32" t="s">
        <v>256</v>
      </c>
      <c r="D61" s="33" t="n">
        <v>359414.605890411</v>
      </c>
      <c r="E61" s="33" t="n">
        <v>407716.054109589</v>
      </c>
      <c r="F61" s="33" t="n">
        <v>467318.792435069</v>
      </c>
      <c r="G61" s="33" t="n">
        <v>508941.578997206</v>
      </c>
    </row>
    <row r="62" customFormat="false" ht="15" hidden="false" customHeight="false" outlineLevel="0" collapsed="false">
      <c r="B62" s="28" t="s">
        <v>257</v>
      </c>
      <c r="D62" s="18" t="n">
        <v>-98175.64</v>
      </c>
      <c r="E62" s="18" t="n">
        <v>-109550.64</v>
      </c>
      <c r="F62" s="18" t="n">
        <v>-118314.6912</v>
      </c>
      <c r="G62" s="18" t="n">
        <v>-127779.866496</v>
      </c>
    </row>
    <row r="63" customFormat="false" ht="15" hidden="false" customHeight="false" outlineLevel="0" collapsed="false">
      <c r="B63" s="32" t="s">
        <v>258</v>
      </c>
      <c r="D63" s="33" t="n">
        <v>-98175.64</v>
      </c>
      <c r="E63" s="33" t="n">
        <v>-109550.64</v>
      </c>
      <c r="F63" s="33" t="n">
        <v>-118314.6912</v>
      </c>
      <c r="G63" s="33" t="n">
        <v>-127779.866496</v>
      </c>
    </row>
    <row r="64" customFormat="false" ht="15" hidden="false" customHeight="false" outlineLevel="0" collapsed="false">
      <c r="B64" s="28" t="s">
        <v>259</v>
      </c>
      <c r="D64" s="18" t="n">
        <v>-50000</v>
      </c>
      <c r="E64" s="18" t="n">
        <v>-50000</v>
      </c>
      <c r="F64" s="18" t="n">
        <v>-50000</v>
      </c>
      <c r="G64" s="18" t="n">
        <v>-50000</v>
      </c>
    </row>
    <row r="65" customFormat="false" ht="15" hidden="false" customHeight="false" outlineLevel="0" collapsed="false">
      <c r="B65" s="28" t="s">
        <v>260</v>
      </c>
      <c r="D65" s="18" t="n">
        <v>-114141.44</v>
      </c>
      <c r="E65" s="18" t="n">
        <v>-145452.16</v>
      </c>
      <c r="F65" s="18" t="n">
        <v>-163656.867968</v>
      </c>
      <c r="G65" s="18" t="n">
        <v>-179441.0070336</v>
      </c>
    </row>
    <row r="66" customFormat="false" ht="15" hidden="false" customHeight="false" outlineLevel="0" collapsed="false">
      <c r="B66" s="32" t="s">
        <v>261</v>
      </c>
      <c r="D66" s="33" t="n">
        <v>-164141.44</v>
      </c>
      <c r="E66" s="33" t="n">
        <v>-195452.16</v>
      </c>
      <c r="F66" s="33" t="n">
        <v>-213656.867968</v>
      </c>
      <c r="G66" s="33" t="n">
        <v>-229441.0070336</v>
      </c>
    </row>
    <row r="67" customFormat="false" ht="15" hidden="false" customHeight="false" outlineLevel="0" collapsed="false">
      <c r="B67" s="32" t="s">
        <v>262</v>
      </c>
      <c r="D67" s="33" t="n">
        <v>97097.5258904109</v>
      </c>
      <c r="E67" s="33" t="n">
        <v>102713.254109589</v>
      </c>
      <c r="F67" s="33" t="n">
        <v>135347.233267069</v>
      </c>
      <c r="G67" s="33" t="n">
        <v>151720.705467605</v>
      </c>
    </row>
    <row r="68" customFormat="false" ht="15" hidden="false" customHeight="false" outlineLevel="0" collapsed="false">
      <c r="B68" s="28" t="s">
        <v>200</v>
      </c>
      <c r="D68" s="18" t="n">
        <v>200000</v>
      </c>
      <c r="E68" s="18" t="n">
        <v>297097.525890411</v>
      </c>
      <c r="F68" s="18" t="n">
        <v>399810.78</v>
      </c>
      <c r="G68" s="18" t="n">
        <v>535158.013267069</v>
      </c>
    </row>
    <row r="69" customFormat="false" ht="15" hidden="false" customHeight="false" outlineLevel="0" collapsed="false">
      <c r="B69" s="32" t="s">
        <v>263</v>
      </c>
      <c r="D69" s="57" t="n">
        <v>297097.525890411</v>
      </c>
      <c r="E69" s="57" t="n">
        <v>399810.78</v>
      </c>
      <c r="F69" s="57" t="n">
        <v>535158.013267069</v>
      </c>
      <c r="G69" s="57" t="n">
        <v>686878.718734674</v>
      </c>
    </row>
  </sheetData>
  <mergeCells count="4">
    <mergeCell ref="B4:G4"/>
    <mergeCell ref="B19:G19"/>
    <mergeCell ref="B35:G35"/>
    <mergeCell ref="B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3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264</v>
      </c>
    </row>
    <row r="2" customFormat="false" ht="15" hidden="false" customHeight="false" outlineLevel="0" collapsed="false">
      <c r="B2" s="13" t="s">
        <v>265</v>
      </c>
    </row>
    <row r="4" customFormat="false" ht="18" hidden="false" customHeight="true" outlineLevel="0" collapsed="false">
      <c r="B4" s="5" t="s">
        <v>266</v>
      </c>
      <c r="C4" s="5"/>
      <c r="D4" s="5"/>
      <c r="E4" s="5"/>
      <c r="F4" s="5"/>
      <c r="G4" s="5"/>
    </row>
    <row r="5" customFormat="false" ht="15" hidden="false" customHeight="false" outlineLevel="0" collapsed="false">
      <c r="B5" s="4" t="s">
        <v>68</v>
      </c>
      <c r="C5" s="4" t="s">
        <v>214</v>
      </c>
      <c r="D5" s="4" t="s">
        <v>215</v>
      </c>
      <c r="E5" s="4" t="s">
        <v>216</v>
      </c>
      <c r="F5" s="4" t="s">
        <v>217</v>
      </c>
    </row>
    <row r="6" customFormat="false" ht="15" hidden="false" customHeight="false" outlineLevel="0" collapsed="false">
      <c r="B6" s="28" t="s">
        <v>267</v>
      </c>
      <c r="C6" s="60" t="n">
        <v>45</v>
      </c>
      <c r="D6" s="60" t="n">
        <v>45</v>
      </c>
      <c r="E6" s="60" t="n">
        <v>45</v>
      </c>
      <c r="F6" s="60" t="n">
        <v>45</v>
      </c>
    </row>
    <row r="7" customFormat="false" ht="15" hidden="false" customHeight="false" outlineLevel="0" collapsed="false">
      <c r="B7" s="28" t="s">
        <v>268</v>
      </c>
      <c r="C7" s="60" t="n">
        <v>60</v>
      </c>
      <c r="D7" s="60" t="n">
        <v>60</v>
      </c>
      <c r="E7" s="60" t="n">
        <v>60</v>
      </c>
      <c r="F7" s="60" t="n">
        <v>60</v>
      </c>
    </row>
    <row r="8" customFormat="false" ht="15" hidden="false" customHeight="false" outlineLevel="0" collapsed="false">
      <c r="B8" s="28" t="s">
        <v>269</v>
      </c>
      <c r="C8" s="60" t="n">
        <v>55</v>
      </c>
      <c r="D8" s="60" t="n">
        <v>55</v>
      </c>
      <c r="E8" s="60" t="n">
        <v>55</v>
      </c>
      <c r="F8" s="60" t="n">
        <v>55</v>
      </c>
    </row>
    <row r="9" customFormat="false" ht="15" hidden="false" customHeight="false" outlineLevel="0" collapsed="false">
      <c r="B9" s="32" t="s">
        <v>270</v>
      </c>
      <c r="C9" s="61" t="n">
        <v>50</v>
      </c>
      <c r="D9" s="61" t="n">
        <v>50</v>
      </c>
      <c r="E9" s="61" t="n">
        <v>50</v>
      </c>
      <c r="F9" s="61" t="n">
        <v>50</v>
      </c>
    </row>
    <row r="10" customFormat="false" ht="15" hidden="false" customHeight="false" outlineLevel="0" collapsed="false">
      <c r="B10" s="32" t="s">
        <v>271</v>
      </c>
      <c r="C10" s="33" t="n">
        <v>323482.904109589</v>
      </c>
      <c r="D10" s="33" t="n">
        <v>360241</v>
      </c>
      <c r="E10" s="33" t="n">
        <v>388979.806684932</v>
      </c>
      <c r="F10" s="33" t="n">
        <v>420098.191219726</v>
      </c>
    </row>
    <row r="11" customFormat="false" ht="15" hidden="false" customHeight="false" outlineLevel="0" collapsed="false">
      <c r="B11" s="28" t="s">
        <v>272</v>
      </c>
      <c r="C11" s="18" t="n">
        <v>-3482.90410958906</v>
      </c>
      <c r="D11" s="18" t="n">
        <v>-36758.0958904109</v>
      </c>
      <c r="E11" s="18" t="n">
        <v>-28738.8066849316</v>
      </c>
      <c r="F11" s="18" t="n">
        <v>-31118.3845347945</v>
      </c>
    </row>
    <row r="13" customFormat="false" ht="15" hidden="false" customHeight="false" outlineLevel="0" collapsed="false">
      <c r="B13" s="62" t="s">
        <v>273</v>
      </c>
      <c r="C13" s="62"/>
      <c r="D13" s="62"/>
      <c r="E13" s="62"/>
      <c r="F13" s="62"/>
      <c r="G13" s="62"/>
    </row>
  </sheetData>
  <mergeCells count="2">
    <mergeCell ref="B4:G4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3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274</v>
      </c>
    </row>
    <row r="2" customFormat="false" ht="15" hidden="false" customHeight="false" outlineLevel="0" collapsed="false">
      <c r="B2" s="13" t="s">
        <v>275</v>
      </c>
    </row>
    <row r="4" customFormat="false" ht="18" hidden="false" customHeight="true" outlineLevel="0" collapsed="false">
      <c r="B4" s="5" t="s">
        <v>276</v>
      </c>
      <c r="C4" s="5"/>
      <c r="D4" s="5"/>
      <c r="E4" s="5"/>
      <c r="F4" s="5"/>
      <c r="G4" s="5"/>
    </row>
    <row r="5" customFormat="false" ht="15" hidden="false" customHeight="false" outlineLevel="0" collapsed="false">
      <c r="B5" s="4" t="s">
        <v>68</v>
      </c>
      <c r="C5" s="4" t="s">
        <v>214</v>
      </c>
      <c r="D5" s="4" t="s">
        <v>215</v>
      </c>
      <c r="E5" s="4" t="s">
        <v>216</v>
      </c>
      <c r="F5" s="4" t="s">
        <v>217</v>
      </c>
    </row>
    <row r="6" customFormat="false" ht="15" hidden="false" customHeight="false" outlineLevel="0" collapsed="false">
      <c r="B6" s="28" t="s">
        <v>221</v>
      </c>
      <c r="C6" s="18" t="n">
        <v>389692</v>
      </c>
      <c r="D6" s="18" t="n">
        <v>487538</v>
      </c>
      <c r="E6" s="18" t="n">
        <v>536427.7124</v>
      </c>
      <c r="F6" s="18" t="n">
        <v>581753.14698</v>
      </c>
    </row>
    <row r="7" customFormat="false" ht="15" hidden="false" customHeight="false" outlineLevel="0" collapsed="false">
      <c r="B7" s="28" t="s">
        <v>277</v>
      </c>
      <c r="C7" s="18" t="n">
        <v>311753.6</v>
      </c>
      <c r="D7" s="18" t="n">
        <v>390030.4</v>
      </c>
      <c r="E7" s="18" t="n">
        <v>429142.16992</v>
      </c>
      <c r="F7" s="18" t="n">
        <v>465402.517584</v>
      </c>
    </row>
    <row r="8" customFormat="false" ht="15" hidden="false" customHeight="false" outlineLevel="0" collapsed="false">
      <c r="B8" s="28" t="s">
        <v>278</v>
      </c>
      <c r="C8" s="18" t="n">
        <v>919114.634109589</v>
      </c>
      <c r="D8" s="18" t="n">
        <v>984579.62</v>
      </c>
      <c r="E8" s="18" t="n">
        <v>1044717.68868493</v>
      </c>
      <c r="F8" s="18" t="n">
        <v>1112158.49376773</v>
      </c>
    </row>
    <row r="9" customFormat="false" ht="15" hidden="false" customHeight="false" outlineLevel="0" collapsed="false">
      <c r="B9" s="28" t="s">
        <v>279</v>
      </c>
      <c r="C9" s="18" t="n">
        <v>907057.317054795</v>
      </c>
      <c r="D9" s="18" t="n">
        <v>951847.127054795</v>
      </c>
      <c r="E9" s="18" t="n">
        <v>1014648.65434247</v>
      </c>
      <c r="F9" s="18" t="n">
        <v>1078438.09122633</v>
      </c>
    </row>
    <row r="10" customFormat="false" ht="15" hidden="false" customHeight="false" outlineLevel="0" collapsed="false">
      <c r="B10" s="32" t="s">
        <v>280</v>
      </c>
      <c r="C10" s="63" t="n">
        <v>0.343697795209084</v>
      </c>
      <c r="D10" s="63" t="n">
        <v>0.409761598174732</v>
      </c>
      <c r="E10" s="63" t="n">
        <v>0.422946571784597</v>
      </c>
      <c r="F10" s="63" t="n">
        <v>0.431552373168473</v>
      </c>
    </row>
    <row r="11" customFormat="false" ht="15" hidden="false" customHeight="false" outlineLevel="0" collapsed="false">
      <c r="B11" s="28" t="s">
        <v>281</v>
      </c>
      <c r="C11" s="21" t="n">
        <v>0.11</v>
      </c>
      <c r="D11" s="21" t="n">
        <v>0.11</v>
      </c>
      <c r="E11" s="21" t="n">
        <v>0.11</v>
      </c>
      <c r="F11" s="21" t="n">
        <v>0.11</v>
      </c>
    </row>
    <row r="12" customFormat="false" ht="15" hidden="false" customHeight="false" outlineLevel="0" collapsed="false">
      <c r="B12" s="28" t="s">
        <v>282</v>
      </c>
      <c r="C12" s="21" t="n">
        <v>0.233697795209084</v>
      </c>
      <c r="D12" s="21" t="n">
        <v>0.299761598174732</v>
      </c>
      <c r="E12" s="21" t="n">
        <v>0.312946571784597</v>
      </c>
      <c r="F12" s="21" t="n">
        <v>0.321552373168473</v>
      </c>
    </row>
    <row r="13" customFormat="false" ht="15" hidden="false" customHeight="false" outlineLevel="0" collapsed="false">
      <c r="B13" s="32" t="s">
        <v>283</v>
      </c>
      <c r="C13" s="57" t="n">
        <v>211977.295123973</v>
      </c>
      <c r="D13" s="57" t="n">
        <v>285327.216023973</v>
      </c>
      <c r="E13" s="57" t="n">
        <v>317530.817942329</v>
      </c>
      <c r="F13" s="57" t="n">
        <v>346774.327549104</v>
      </c>
    </row>
    <row r="14" customFormat="false" ht="15" hidden="false" customHeight="false" outlineLevel="0" collapsed="false">
      <c r="B14" s="28" t="s">
        <v>284</v>
      </c>
      <c r="C14" s="21" t="n">
        <v>0.12701871869641</v>
      </c>
      <c r="D14" s="21" t="n">
        <v>0.142410998237893</v>
      </c>
      <c r="E14" s="21" t="n">
        <v>0.145084998512847</v>
      </c>
      <c r="F14" s="21" t="n">
        <v>0.145688841394609</v>
      </c>
    </row>
    <row r="15" customFormat="false" ht="15" hidden="false" customHeight="false" outlineLevel="0" collapsed="false">
      <c r="B15" s="28" t="s">
        <v>285</v>
      </c>
      <c r="C15" s="64" t="n">
        <v>2.70588302839492</v>
      </c>
      <c r="D15" s="64" t="n">
        <v>2.87731708396735</v>
      </c>
      <c r="E15" s="64" t="n">
        <v>2.91516404948748</v>
      </c>
      <c r="F15" s="64" t="n">
        <v>2.96215117806849</v>
      </c>
    </row>
    <row r="17" customFormat="false" ht="15" hidden="false" customHeight="false" outlineLevel="0" collapsed="false">
      <c r="B17" s="62" t="s">
        <v>286</v>
      </c>
      <c r="C17" s="62"/>
      <c r="D17" s="62"/>
      <c r="E17" s="62"/>
      <c r="F17" s="62"/>
      <c r="G17" s="62"/>
    </row>
  </sheetData>
  <mergeCells count="2">
    <mergeCell ref="B4:G4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5" min="3" style="0" width="8.5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287</v>
      </c>
    </row>
    <row r="2" customFormat="false" ht="15" hidden="false" customHeight="false" outlineLevel="0" collapsed="false">
      <c r="B2" s="3" t="s">
        <v>288</v>
      </c>
    </row>
    <row r="4" customFormat="false" ht="15.75" hidden="false" customHeight="true" outlineLevel="0" collapsed="false">
      <c r="B4" s="4" t="s">
        <v>155</v>
      </c>
      <c r="C4" s="4" t="s">
        <v>289</v>
      </c>
      <c r="D4" s="4" t="s">
        <v>290</v>
      </c>
      <c r="E4" s="4" t="s">
        <v>291</v>
      </c>
      <c r="F4" s="4" t="s">
        <v>292</v>
      </c>
      <c r="G4" s="4" t="s">
        <v>293</v>
      </c>
      <c r="H4" s="4" t="s">
        <v>294</v>
      </c>
      <c r="I4" s="4" t="s">
        <v>295</v>
      </c>
      <c r="J4" s="4" t="s">
        <v>296</v>
      </c>
      <c r="K4" s="4" t="s">
        <v>297</v>
      </c>
      <c r="L4" s="4" t="s">
        <v>78</v>
      </c>
      <c r="M4" s="4" t="s">
        <v>79</v>
      </c>
      <c r="N4" s="4" t="s">
        <v>80</v>
      </c>
      <c r="O4" s="4" t="s">
        <v>298</v>
      </c>
    </row>
    <row r="5" customFormat="false" ht="15" hidden="false" customHeight="false" outlineLevel="0" collapsed="false">
      <c r="B5" s="32" t="s">
        <v>299</v>
      </c>
      <c r="C5" s="18" t="n">
        <v>200000</v>
      </c>
      <c r="D5" s="18" t="n">
        <v>188000</v>
      </c>
      <c r="E5" s="18" t="n">
        <v>188000</v>
      </c>
      <c r="F5" s="18" t="n">
        <v>188000</v>
      </c>
      <c r="G5" s="18" t="n">
        <v>171000</v>
      </c>
      <c r="H5" s="18" t="n">
        <v>162000</v>
      </c>
      <c r="I5" s="18" t="n">
        <v>155000</v>
      </c>
      <c r="J5" s="18" t="n">
        <v>157000</v>
      </c>
      <c r="K5" s="18" t="n">
        <v>157000</v>
      </c>
      <c r="L5" s="18" t="n">
        <v>145000</v>
      </c>
      <c r="M5" s="18" t="n">
        <v>146000</v>
      </c>
      <c r="N5" s="18" t="n">
        <v>138000</v>
      </c>
      <c r="O5" s="18" t="n">
        <v>161000</v>
      </c>
    </row>
    <row r="6" customFormat="false" ht="15" hidden="false" customHeight="false" outlineLevel="0" collapsed="false">
      <c r="B6" s="28" t="s">
        <v>300</v>
      </c>
      <c r="C6" s="53" t="n">
        <v>52000</v>
      </c>
      <c r="D6" s="53" t="n">
        <v>50000</v>
      </c>
      <c r="E6" s="53" t="n">
        <v>48000</v>
      </c>
      <c r="F6" s="53" t="n">
        <v>55000</v>
      </c>
      <c r="G6" s="53" t="n">
        <v>60000</v>
      </c>
      <c r="H6" s="53" t="n">
        <v>58000</v>
      </c>
      <c r="I6" s="53" t="n">
        <v>54000</v>
      </c>
      <c r="J6" s="53" t="n">
        <v>50000</v>
      </c>
      <c r="K6" s="53" t="n">
        <v>49000</v>
      </c>
      <c r="L6" s="53" t="n">
        <v>53000</v>
      </c>
      <c r="M6" s="53" t="n">
        <v>62000</v>
      </c>
      <c r="N6" s="53" t="n">
        <v>90000</v>
      </c>
      <c r="O6" s="53" t="n">
        <v>70000</v>
      </c>
    </row>
    <row r="7" customFormat="false" ht="15" hidden="false" customHeight="false" outlineLevel="0" collapsed="false">
      <c r="B7" s="28" t="s">
        <v>301</v>
      </c>
      <c r="C7" s="53" t="n">
        <v>2000</v>
      </c>
      <c r="D7" s="53" t="n">
        <v>2000</v>
      </c>
      <c r="E7" s="53" t="n">
        <v>2000</v>
      </c>
      <c r="F7" s="53" t="n">
        <v>2000</v>
      </c>
      <c r="G7" s="53" t="n">
        <v>2000</v>
      </c>
      <c r="H7" s="53" t="n">
        <v>2000</v>
      </c>
      <c r="I7" s="53" t="n">
        <v>2000</v>
      </c>
      <c r="J7" s="53" t="n">
        <v>2000</v>
      </c>
      <c r="K7" s="53" t="n">
        <v>2000</v>
      </c>
      <c r="L7" s="53" t="n">
        <v>2000</v>
      </c>
      <c r="M7" s="53" t="n">
        <v>2000</v>
      </c>
      <c r="N7" s="53" t="n">
        <v>2000</v>
      </c>
      <c r="O7" s="53" t="n">
        <v>2000</v>
      </c>
    </row>
    <row r="8" customFormat="false" ht="15" hidden="false" customHeight="false" outlineLevel="0" collapsed="false">
      <c r="B8" s="32" t="s">
        <v>302</v>
      </c>
      <c r="C8" s="33" t="n">
        <v>54000</v>
      </c>
      <c r="D8" s="33" t="n">
        <v>52000</v>
      </c>
      <c r="E8" s="33" t="n">
        <v>50000</v>
      </c>
      <c r="F8" s="33" t="n">
        <v>57000</v>
      </c>
      <c r="G8" s="33" t="n">
        <v>62000</v>
      </c>
      <c r="H8" s="33" t="n">
        <v>60000</v>
      </c>
      <c r="I8" s="33" t="n">
        <v>56000</v>
      </c>
      <c r="J8" s="33" t="n">
        <v>52000</v>
      </c>
      <c r="K8" s="33" t="n">
        <v>51000</v>
      </c>
      <c r="L8" s="33" t="n">
        <v>55000</v>
      </c>
      <c r="M8" s="33" t="n">
        <v>64000</v>
      </c>
      <c r="N8" s="33" t="n">
        <v>92000</v>
      </c>
      <c r="O8" s="33" t="n">
        <v>72000</v>
      </c>
    </row>
    <row r="9" customFormat="false" ht="15" hidden="false" customHeight="false" outlineLevel="0" collapsed="false">
      <c r="B9" s="28" t="s">
        <v>303</v>
      </c>
      <c r="C9" s="53" t="n">
        <v>-30000</v>
      </c>
      <c r="D9" s="53" t="n">
        <v>-28000</v>
      </c>
      <c r="E9" s="53" t="n">
        <v>-26000</v>
      </c>
      <c r="F9" s="53" t="n">
        <v>-32000</v>
      </c>
      <c r="G9" s="53" t="n">
        <v>-35000</v>
      </c>
      <c r="H9" s="53" t="n">
        <v>-33000</v>
      </c>
      <c r="I9" s="53" t="n">
        <v>-30000</v>
      </c>
      <c r="J9" s="53" t="n">
        <v>-28000</v>
      </c>
      <c r="K9" s="53" t="n">
        <v>-27000</v>
      </c>
      <c r="L9" s="53" t="n">
        <v>-30000</v>
      </c>
      <c r="M9" s="53" t="n">
        <v>-38000</v>
      </c>
      <c r="N9" s="53" t="n">
        <v>-45000</v>
      </c>
      <c r="O9" s="53" t="n">
        <v>-40000</v>
      </c>
    </row>
    <row r="10" customFormat="false" ht="15" hidden="false" customHeight="false" outlineLevel="0" collapsed="false">
      <c r="B10" s="28" t="s">
        <v>304</v>
      </c>
      <c r="C10" s="53" t="n">
        <v>-16000</v>
      </c>
      <c r="D10" s="53" t="n">
        <v>-16000</v>
      </c>
      <c r="E10" s="53" t="n">
        <v>-16000</v>
      </c>
      <c r="F10" s="53" t="n">
        <v>-16000</v>
      </c>
      <c r="G10" s="53" t="n">
        <v>-16000</v>
      </c>
      <c r="H10" s="53" t="n">
        <v>-16000</v>
      </c>
      <c r="I10" s="53" t="n">
        <v>-16000</v>
      </c>
      <c r="J10" s="53" t="n">
        <v>-16000</v>
      </c>
      <c r="K10" s="53" t="n">
        <v>-16000</v>
      </c>
      <c r="L10" s="53" t="n">
        <v>-16000</v>
      </c>
      <c r="M10" s="53" t="n">
        <v>-16000</v>
      </c>
      <c r="N10" s="53" t="n">
        <v>-16000</v>
      </c>
      <c r="O10" s="53" t="n">
        <v>-16000</v>
      </c>
    </row>
    <row r="11" customFormat="false" ht="15" hidden="false" customHeight="false" outlineLevel="0" collapsed="false">
      <c r="B11" s="28" t="s">
        <v>305</v>
      </c>
      <c r="C11" s="53" t="n">
        <v>-8000</v>
      </c>
      <c r="D11" s="53" t="n">
        <v>-8000</v>
      </c>
      <c r="E11" s="53" t="n">
        <v>-8000</v>
      </c>
      <c r="F11" s="53" t="n">
        <v>-8000</v>
      </c>
      <c r="G11" s="53" t="n">
        <v>-8000</v>
      </c>
      <c r="H11" s="53" t="n">
        <v>-8000</v>
      </c>
      <c r="I11" s="53" t="n">
        <v>-8000</v>
      </c>
      <c r="J11" s="53" t="n">
        <v>-8000</v>
      </c>
      <c r="K11" s="53" t="n">
        <v>-8000</v>
      </c>
      <c r="L11" s="53" t="n">
        <v>-8000</v>
      </c>
      <c r="M11" s="53" t="n">
        <v>-8000</v>
      </c>
      <c r="N11" s="53" t="n">
        <v>-8000</v>
      </c>
      <c r="O11" s="53" t="n">
        <v>-8000</v>
      </c>
    </row>
    <row r="12" customFormat="false" ht="15" hidden="false" customHeight="false" outlineLevel="0" collapsed="false">
      <c r="B12" s="28" t="s">
        <v>306</v>
      </c>
      <c r="C12" s="53" t="n">
        <v>0</v>
      </c>
      <c r="D12" s="53" t="n">
        <v>0</v>
      </c>
      <c r="E12" s="53" t="n">
        <v>0</v>
      </c>
      <c r="F12" s="53" t="n">
        <v>-18000</v>
      </c>
      <c r="G12" s="53" t="n">
        <v>0</v>
      </c>
      <c r="H12" s="53" t="n">
        <v>0</v>
      </c>
      <c r="I12" s="53" t="n">
        <v>0</v>
      </c>
      <c r="J12" s="53" t="n">
        <v>0</v>
      </c>
      <c r="K12" s="53" t="n">
        <v>0</v>
      </c>
      <c r="L12" s="53" t="n">
        <v>0</v>
      </c>
      <c r="M12" s="53" t="n">
        <v>0</v>
      </c>
      <c r="N12" s="53" t="n">
        <v>0</v>
      </c>
      <c r="O12" s="53" t="n">
        <v>-18000</v>
      </c>
    </row>
    <row r="13" customFormat="false" ht="15" hidden="false" customHeight="false" outlineLevel="0" collapsed="false">
      <c r="B13" s="28" t="s">
        <v>307</v>
      </c>
      <c r="C13" s="53" t="n">
        <v>-12000</v>
      </c>
      <c r="D13" s="53" t="n">
        <v>0</v>
      </c>
      <c r="E13" s="53" t="n">
        <v>0</v>
      </c>
      <c r="F13" s="53" t="n">
        <v>0</v>
      </c>
      <c r="G13" s="53" t="n">
        <v>-12000</v>
      </c>
      <c r="H13" s="53" t="n">
        <v>0</v>
      </c>
      <c r="I13" s="53" t="n">
        <v>0</v>
      </c>
      <c r="J13" s="53" t="n">
        <v>0</v>
      </c>
      <c r="K13" s="53" t="n">
        <v>-12000</v>
      </c>
      <c r="L13" s="53" t="n">
        <v>0</v>
      </c>
      <c r="M13" s="53" t="n">
        <v>0</v>
      </c>
      <c r="N13" s="53" t="n">
        <v>0</v>
      </c>
      <c r="O13" s="53" t="n">
        <v>-12000</v>
      </c>
    </row>
    <row r="14" customFormat="false" ht="15" hidden="false" customHeight="false" outlineLevel="0" collapsed="false">
      <c r="B14" s="28" t="s">
        <v>308</v>
      </c>
      <c r="C14" s="53" t="n">
        <v>0</v>
      </c>
      <c r="D14" s="53" t="n">
        <v>0</v>
      </c>
      <c r="E14" s="53" t="n">
        <v>0</v>
      </c>
      <c r="F14" s="53" t="n">
        <v>0</v>
      </c>
      <c r="G14" s="53" t="n">
        <v>0</v>
      </c>
      <c r="H14" s="53" t="n">
        <v>-10000</v>
      </c>
      <c r="I14" s="53" t="n">
        <v>0</v>
      </c>
      <c r="J14" s="53" t="n">
        <v>0</v>
      </c>
      <c r="K14" s="53" t="n">
        <v>0</v>
      </c>
      <c r="L14" s="53" t="n">
        <v>0</v>
      </c>
      <c r="M14" s="53" t="n">
        <v>-10000</v>
      </c>
      <c r="N14" s="53" t="n">
        <v>0</v>
      </c>
      <c r="O14" s="53" t="n">
        <v>0</v>
      </c>
    </row>
    <row r="15" customFormat="false" ht="15" hidden="false" customHeight="false" outlineLevel="0" collapsed="false">
      <c r="B15" s="32" t="s">
        <v>309</v>
      </c>
      <c r="C15" s="33" t="n">
        <v>-66000</v>
      </c>
      <c r="D15" s="33" t="n">
        <v>-52000</v>
      </c>
      <c r="E15" s="33" t="n">
        <v>-50000</v>
      </c>
      <c r="F15" s="33" t="n">
        <v>-74000</v>
      </c>
      <c r="G15" s="33" t="n">
        <v>-71000</v>
      </c>
      <c r="H15" s="33" t="n">
        <v>-67000</v>
      </c>
      <c r="I15" s="33" t="n">
        <v>-54000</v>
      </c>
      <c r="J15" s="33" t="n">
        <v>-52000</v>
      </c>
      <c r="K15" s="33" t="n">
        <v>-63000</v>
      </c>
      <c r="L15" s="33" t="n">
        <v>-54000</v>
      </c>
      <c r="M15" s="33" t="n">
        <v>-72000</v>
      </c>
      <c r="N15" s="33" t="n">
        <v>-69000</v>
      </c>
      <c r="O15" s="33" t="n">
        <v>-94000</v>
      </c>
    </row>
    <row r="16" customFormat="false" ht="15" hidden="false" customHeight="false" outlineLevel="0" collapsed="false">
      <c r="B16" s="32" t="s">
        <v>310</v>
      </c>
      <c r="C16" s="33" t="n">
        <v>-12000</v>
      </c>
      <c r="D16" s="33" t="n">
        <v>0</v>
      </c>
      <c r="E16" s="33" t="n">
        <v>0</v>
      </c>
      <c r="F16" s="33" t="n">
        <v>-17000</v>
      </c>
      <c r="G16" s="33" t="n">
        <v>-9000</v>
      </c>
      <c r="H16" s="33" t="n">
        <v>-7000</v>
      </c>
      <c r="I16" s="33" t="n">
        <v>2000</v>
      </c>
      <c r="J16" s="33" t="n">
        <v>0</v>
      </c>
      <c r="K16" s="33" t="n">
        <v>-12000</v>
      </c>
      <c r="L16" s="33" t="n">
        <v>1000</v>
      </c>
      <c r="M16" s="33" t="n">
        <v>-8000</v>
      </c>
      <c r="N16" s="33" t="n">
        <v>23000</v>
      </c>
      <c r="O16" s="33" t="n">
        <v>-22000</v>
      </c>
    </row>
    <row r="17" customFormat="false" ht="15" hidden="false" customHeight="false" outlineLevel="0" collapsed="false">
      <c r="B17" s="32" t="s">
        <v>311</v>
      </c>
      <c r="C17" s="57" t="n">
        <v>188000</v>
      </c>
      <c r="D17" s="57" t="n">
        <v>188000</v>
      </c>
      <c r="E17" s="57" t="n">
        <v>188000</v>
      </c>
      <c r="F17" s="57" t="n">
        <v>171000</v>
      </c>
      <c r="G17" s="57" t="n">
        <v>162000</v>
      </c>
      <c r="H17" s="57" t="n">
        <v>155000</v>
      </c>
      <c r="I17" s="57" t="n">
        <v>157000</v>
      </c>
      <c r="J17" s="57" t="n">
        <v>157000</v>
      </c>
      <c r="K17" s="57" t="n">
        <v>145000</v>
      </c>
      <c r="L17" s="57" t="n">
        <v>146000</v>
      </c>
      <c r="M17" s="57" t="n">
        <v>138000</v>
      </c>
      <c r="N17" s="57" t="n">
        <v>161000</v>
      </c>
      <c r="O17" s="57" t="n">
        <v>139000</v>
      </c>
    </row>
    <row r="19" customFormat="false" ht="15" hidden="false" customHeight="true" outlineLevel="0" collapsed="false">
      <c r="B19" s="55" t="s">
        <v>312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</row>
  </sheetData>
  <mergeCells count="1">
    <mergeCell ref="B19:O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9" min="3" style="0" width="11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313</v>
      </c>
    </row>
    <row r="2" customFormat="false" ht="15" hidden="false" customHeight="false" outlineLevel="0" collapsed="false">
      <c r="B2" s="13" t="s">
        <v>314</v>
      </c>
    </row>
    <row r="4" customFormat="false" ht="18" hidden="false" customHeight="true" outlineLevel="0" collapsed="false">
      <c r="B4" s="5" t="s">
        <v>315</v>
      </c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B5" s="4" t="s">
        <v>44</v>
      </c>
      <c r="C5" s="4" t="s">
        <v>45</v>
      </c>
      <c r="D5" s="4" t="s">
        <v>316</v>
      </c>
      <c r="E5" s="4" t="s">
        <v>317</v>
      </c>
      <c r="F5" s="4" t="s">
        <v>318</v>
      </c>
      <c r="G5" s="4" t="s">
        <v>319</v>
      </c>
      <c r="H5" s="4" t="s">
        <v>320</v>
      </c>
      <c r="I5" s="4" t="s">
        <v>321</v>
      </c>
    </row>
    <row r="6" customFormat="false" ht="15" hidden="false" customHeight="false" outlineLevel="0" collapsed="false">
      <c r="B6" s="14" t="s">
        <v>57</v>
      </c>
      <c r="C6" s="15" t="s">
        <v>55</v>
      </c>
      <c r="D6" s="17" t="n">
        <v>47.25</v>
      </c>
      <c r="E6" s="17" t="n">
        <v>25.98</v>
      </c>
      <c r="F6" s="20" t="n">
        <v>21.27</v>
      </c>
      <c r="G6" s="35" t="n">
        <v>0.45015873015873</v>
      </c>
      <c r="H6" s="16" t="n">
        <v>1220</v>
      </c>
      <c r="I6" s="18" t="n">
        <v>25949.4</v>
      </c>
    </row>
    <row r="7" customFormat="false" ht="15" hidden="false" customHeight="false" outlineLevel="0" collapsed="false">
      <c r="B7" s="14" t="s">
        <v>57</v>
      </c>
      <c r="C7" s="15" t="s">
        <v>54</v>
      </c>
      <c r="D7" s="17" t="n">
        <v>45</v>
      </c>
      <c r="E7" s="17" t="n">
        <v>25.98</v>
      </c>
      <c r="F7" s="20" t="n">
        <v>19.02</v>
      </c>
      <c r="G7" s="35" t="n">
        <v>0.422666666666667</v>
      </c>
      <c r="H7" s="16" t="n">
        <v>5612</v>
      </c>
      <c r="I7" s="18" t="n">
        <v>106740.24</v>
      </c>
    </row>
    <row r="8" customFormat="false" ht="15" hidden="false" customHeight="false" outlineLevel="0" collapsed="false">
      <c r="B8" s="14" t="s">
        <v>52</v>
      </c>
      <c r="C8" s="15" t="s">
        <v>55</v>
      </c>
      <c r="D8" s="17" t="n">
        <v>57.75</v>
      </c>
      <c r="E8" s="17" t="n">
        <v>34.06</v>
      </c>
      <c r="F8" s="20" t="n">
        <v>23.69</v>
      </c>
      <c r="G8" s="35" t="n">
        <v>0.41021645021645</v>
      </c>
      <c r="H8" s="16" t="n">
        <v>5130</v>
      </c>
      <c r="I8" s="18" t="n">
        <v>121529.7</v>
      </c>
    </row>
    <row r="9" customFormat="false" ht="15" hidden="false" customHeight="false" outlineLevel="0" collapsed="false">
      <c r="B9" s="14" t="s">
        <v>56</v>
      </c>
      <c r="C9" s="15" t="s">
        <v>55</v>
      </c>
      <c r="D9" s="17" t="n">
        <v>23.1</v>
      </c>
      <c r="E9" s="17" t="n">
        <v>13.7075</v>
      </c>
      <c r="F9" s="20" t="n">
        <v>9.3925</v>
      </c>
      <c r="G9" s="35" t="n">
        <v>0.406601731601732</v>
      </c>
      <c r="H9" s="16" t="n">
        <v>4908</v>
      </c>
      <c r="I9" s="18" t="n">
        <v>46098.39</v>
      </c>
    </row>
    <row r="10" customFormat="false" ht="15" hidden="false" customHeight="false" outlineLevel="0" collapsed="false">
      <c r="B10" s="14" t="s">
        <v>57</v>
      </c>
      <c r="C10" s="15" t="s">
        <v>53</v>
      </c>
      <c r="D10" s="17" t="n">
        <v>43.2</v>
      </c>
      <c r="E10" s="17" t="n">
        <v>25.98</v>
      </c>
      <c r="F10" s="20" t="n">
        <v>17.22</v>
      </c>
      <c r="G10" s="35" t="n">
        <v>0.398611111111111</v>
      </c>
      <c r="H10" s="16" t="n">
        <v>5368</v>
      </c>
      <c r="I10" s="18" t="n">
        <v>92436.96</v>
      </c>
    </row>
    <row r="11" customFormat="false" ht="15" hidden="false" customHeight="false" outlineLevel="0" collapsed="false">
      <c r="B11" s="14" t="s">
        <v>52</v>
      </c>
      <c r="C11" s="15" t="s">
        <v>54</v>
      </c>
      <c r="D11" s="17" t="n">
        <v>55</v>
      </c>
      <c r="E11" s="17" t="n">
        <v>34.06</v>
      </c>
      <c r="F11" s="20" t="n">
        <v>20.94</v>
      </c>
      <c r="G11" s="35" t="n">
        <v>0.380727272727273</v>
      </c>
      <c r="H11" s="16" t="n">
        <v>6270</v>
      </c>
      <c r="I11" s="18" t="n">
        <v>131293.8</v>
      </c>
    </row>
    <row r="12" customFormat="false" ht="15" hidden="false" customHeight="false" outlineLevel="0" collapsed="false">
      <c r="B12" s="14" t="s">
        <v>56</v>
      </c>
      <c r="C12" s="15" t="s">
        <v>54</v>
      </c>
      <c r="D12" s="17" t="n">
        <v>22</v>
      </c>
      <c r="E12" s="17" t="n">
        <v>13.7075</v>
      </c>
      <c r="F12" s="20" t="n">
        <v>8.2925</v>
      </c>
      <c r="G12" s="35" t="n">
        <v>0.376931818181818</v>
      </c>
      <c r="H12" s="16" t="n">
        <v>16360</v>
      </c>
      <c r="I12" s="18" t="n">
        <v>135665.3</v>
      </c>
    </row>
    <row r="13" customFormat="false" ht="15" hidden="false" customHeight="false" outlineLevel="0" collapsed="false">
      <c r="B13" s="14" t="s">
        <v>52</v>
      </c>
      <c r="C13" s="15" t="s">
        <v>53</v>
      </c>
      <c r="D13" s="17" t="n">
        <v>52.8</v>
      </c>
      <c r="E13" s="17" t="n">
        <v>34.06</v>
      </c>
      <c r="F13" s="20" t="n">
        <v>18.74</v>
      </c>
      <c r="G13" s="35" t="n">
        <v>0.354924242424242</v>
      </c>
      <c r="H13" s="16" t="n">
        <v>7600</v>
      </c>
      <c r="I13" s="18" t="n">
        <v>142424</v>
      </c>
    </row>
    <row r="14" customFormat="false" ht="15" hidden="false" customHeight="false" outlineLevel="0" collapsed="false">
      <c r="B14" s="14" t="s">
        <v>56</v>
      </c>
      <c r="C14" s="15" t="s">
        <v>53</v>
      </c>
      <c r="D14" s="17" t="n">
        <v>21.12</v>
      </c>
      <c r="E14" s="17" t="n">
        <v>13.7075</v>
      </c>
      <c r="F14" s="20" t="n">
        <v>7.4125</v>
      </c>
      <c r="G14" s="35" t="n">
        <v>0.350970643939394</v>
      </c>
      <c r="H14" s="16" t="n">
        <v>19632</v>
      </c>
      <c r="I14" s="18" t="n">
        <v>145522.2</v>
      </c>
    </row>
    <row r="15" customFormat="false" ht="15" hidden="false" customHeight="false" outlineLevel="0" collapsed="false">
      <c r="B15" s="22" t="s">
        <v>322</v>
      </c>
      <c r="C15" s="23"/>
      <c r="D15" s="23"/>
      <c r="E15" s="23"/>
      <c r="F15" s="23"/>
      <c r="G15" s="27" t="n">
        <v>0.383296704713669</v>
      </c>
      <c r="H15" s="24" t="n">
        <v>72100</v>
      </c>
      <c r="I15" s="26" t="n">
        <v>947659.99</v>
      </c>
    </row>
    <row r="17" customFormat="false" ht="22.35" hidden="false" customHeight="true" outlineLevel="0" collapsed="false">
      <c r="B17" s="65" t="s">
        <v>323</v>
      </c>
      <c r="C17" s="65"/>
      <c r="D17" s="65"/>
      <c r="E17" s="65"/>
      <c r="F17" s="65"/>
      <c r="G17" s="65"/>
      <c r="H17" s="65"/>
      <c r="I17" s="65"/>
    </row>
  </sheetData>
  <mergeCells count="2">
    <mergeCell ref="B4:I4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7" min="4" style="0" width="13"/>
    <col collapsed="false" customWidth="true" hidden="false" outlineLevel="0" max="8" min="8" style="0" width="17"/>
    <col collapsed="false" customWidth="true" hidden="false" outlineLevel="0" max="9" min="9" style="0" width="6"/>
    <col collapsed="false" customWidth="true" hidden="false" outlineLevel="0" max="10" min="10" style="0" width="8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324</v>
      </c>
    </row>
    <row r="2" customFormat="false" ht="15" hidden="false" customHeight="false" outlineLevel="0" collapsed="false">
      <c r="B2" s="13" t="s">
        <v>325</v>
      </c>
    </row>
    <row r="4" customFormat="false" ht="15" hidden="false" customHeight="false" outlineLevel="0" collapsed="false">
      <c r="B4" s="66" t="s">
        <v>326</v>
      </c>
      <c r="E4" s="67" t="s">
        <v>53</v>
      </c>
      <c r="F4" s="38" t="n">
        <v>0.08</v>
      </c>
      <c r="G4" s="67" t="s">
        <v>54</v>
      </c>
      <c r="H4" s="38" t="n">
        <v>0.06</v>
      </c>
      <c r="I4" s="67" t="s">
        <v>55</v>
      </c>
      <c r="J4" s="38" t="n">
        <v>0.14</v>
      </c>
    </row>
    <row r="5" customFormat="false" ht="15" hidden="false" customHeight="false" outlineLevel="0" collapsed="false">
      <c r="B5" s="28" t="s">
        <v>327</v>
      </c>
      <c r="D5" s="30" t="n">
        <v>0.15</v>
      </c>
      <c r="F5" s="28" t="s">
        <v>328</v>
      </c>
      <c r="H5" s="30" t="n">
        <v>0.3</v>
      </c>
    </row>
    <row r="7" customFormat="false" ht="18" hidden="false" customHeight="true" outlineLevel="0" collapsed="false">
      <c r="B7" s="5" t="s">
        <v>329</v>
      </c>
      <c r="C7" s="5"/>
      <c r="D7" s="5"/>
      <c r="E7" s="5"/>
      <c r="F7" s="5"/>
      <c r="G7" s="5"/>
      <c r="H7" s="5"/>
      <c r="I7" s="5"/>
    </row>
    <row r="8" customFormat="false" ht="25.5" hidden="false" customHeight="true" outlineLevel="0" collapsed="false">
      <c r="B8" s="4" t="s">
        <v>44</v>
      </c>
      <c r="C8" s="4" t="s">
        <v>45</v>
      </c>
      <c r="D8" s="4" t="s">
        <v>330</v>
      </c>
      <c r="E8" s="4" t="s">
        <v>331</v>
      </c>
      <c r="F8" s="4" t="s">
        <v>332</v>
      </c>
      <c r="G8" s="4" t="s">
        <v>333</v>
      </c>
      <c r="H8" s="4" t="s">
        <v>334</v>
      </c>
    </row>
    <row r="9" customFormat="false" ht="15" hidden="false" customHeight="false" outlineLevel="0" collapsed="false">
      <c r="B9" s="14" t="s">
        <v>52</v>
      </c>
      <c r="C9" s="15" t="s">
        <v>53</v>
      </c>
      <c r="D9" s="21" t="n">
        <v>0.0917</v>
      </c>
      <c r="E9" s="38" t="n">
        <v>0.3549</v>
      </c>
      <c r="F9" s="21" t="n">
        <v>0.08</v>
      </c>
      <c r="G9" s="35" t="n">
        <v>0.2749</v>
      </c>
      <c r="H9" s="14" t="inlineStr">
        <is>
          <t xml:space="preserve">EXIT/REVIEW</t>
        </is>
      </c>
    </row>
    <row r="10" customFormat="false" ht="15" hidden="false" customHeight="false" outlineLevel="0" collapsed="false">
      <c r="B10" s="14" t="s">
        <v>52</v>
      </c>
      <c r="C10" s="15" t="s">
        <v>54</v>
      </c>
      <c r="D10" s="21" t="n">
        <v>0.0815</v>
      </c>
      <c r="E10" s="38" t="n">
        <v>0.3807</v>
      </c>
      <c r="F10" s="21" t="n">
        <v>0.06</v>
      </c>
      <c r="G10" s="35" t="n">
        <v>0.3207</v>
      </c>
      <c r="H10" s="14" t="inlineStr">
        <is>
          <t xml:space="preserve">HOLD (cash cow)</t>
        </is>
      </c>
    </row>
    <row r="11" customFormat="false" ht="15" hidden="false" customHeight="false" outlineLevel="0" collapsed="false">
      <c r="B11" s="14" t="s">
        <v>52</v>
      </c>
      <c r="C11" s="15" t="s">
        <v>55</v>
      </c>
      <c r="D11" s="21" t="n">
        <v>0.2359</v>
      </c>
      <c r="E11" s="38" t="n">
        <v>0.4102</v>
      </c>
      <c r="F11" s="21" t="n">
        <v>0.14</v>
      </c>
      <c r="G11" s="35" t="n">
        <v>0.2702</v>
      </c>
      <c r="H11" s="14" t="inlineStr">
        <is>
          <t xml:space="preserve">SELECTIVE</t>
        </is>
      </c>
    </row>
    <row r="12" customFormat="false" ht="15" hidden="false" customHeight="false" outlineLevel="0" collapsed="false">
      <c r="B12" s="14" t="s">
        <v>56</v>
      </c>
      <c r="C12" s="15" t="s">
        <v>53</v>
      </c>
      <c r="D12" s="21" t="n">
        <v>0.0916</v>
      </c>
      <c r="E12" s="38" t="n">
        <v>0.351</v>
      </c>
      <c r="F12" s="21" t="n">
        <v>0.08</v>
      </c>
      <c r="G12" s="35" t="n">
        <v>0.271</v>
      </c>
      <c r="H12" s="14" t="inlineStr">
        <is>
          <t xml:space="preserve">EXIT/REVIEW</t>
        </is>
      </c>
    </row>
    <row r="13" customFormat="false" ht="15" hidden="false" customHeight="false" outlineLevel="0" collapsed="false">
      <c r="B13" s="14" t="s">
        <v>56</v>
      </c>
      <c r="C13" s="15" t="s">
        <v>54</v>
      </c>
      <c r="D13" s="21" t="n">
        <v>0.0815</v>
      </c>
      <c r="E13" s="38" t="n">
        <v>0.3769</v>
      </c>
      <c r="F13" s="21" t="n">
        <v>0.06</v>
      </c>
      <c r="G13" s="35" t="n">
        <v>0.3169</v>
      </c>
      <c r="H13" s="14" t="inlineStr">
        <is>
          <t xml:space="preserve">HOLD (cash cow)</t>
        </is>
      </c>
    </row>
    <row r="14" customFormat="false" ht="15" hidden="false" customHeight="false" outlineLevel="0" collapsed="false">
      <c r="B14" s="14" t="s">
        <v>56</v>
      </c>
      <c r="C14" s="15" t="s">
        <v>55</v>
      </c>
      <c r="D14" s="21" t="n">
        <v>0.2358</v>
      </c>
      <c r="E14" s="38" t="n">
        <v>0.4066</v>
      </c>
      <c r="F14" s="21" t="n">
        <v>0.14</v>
      </c>
      <c r="G14" s="35" t="n">
        <v>0.2666</v>
      </c>
      <c r="H14" s="14" t="inlineStr">
        <is>
          <t xml:space="preserve">SELECTIVE</t>
        </is>
      </c>
    </row>
    <row r="15" customFormat="false" ht="15" hidden="false" customHeight="false" outlineLevel="0" collapsed="false">
      <c r="B15" s="14" t="s">
        <v>57</v>
      </c>
      <c r="C15" s="15" t="s">
        <v>53</v>
      </c>
      <c r="D15" s="21" t="n">
        <v>0.0919</v>
      </c>
      <c r="E15" s="38" t="n">
        <v>0.3986</v>
      </c>
      <c r="F15" s="21" t="n">
        <v>0.08</v>
      </c>
      <c r="G15" s="35" t="n">
        <v>0.3186</v>
      </c>
      <c r="H15" s="14" t="inlineStr">
        <is>
          <t xml:space="preserve">HOLD (cash cow)</t>
        </is>
      </c>
    </row>
    <row r="16" customFormat="false" ht="15" hidden="false" customHeight="false" outlineLevel="0" collapsed="false">
      <c r="B16" s="14" t="s">
        <v>57</v>
      </c>
      <c r="C16" s="15" t="s">
        <v>54</v>
      </c>
      <c r="D16" s="21" t="n">
        <v>0.0815</v>
      </c>
      <c r="E16" s="38" t="n">
        <v>0.4227</v>
      </c>
      <c r="F16" s="21" t="n">
        <v>0.06</v>
      </c>
      <c r="G16" s="35" t="n">
        <v>0.3627</v>
      </c>
      <c r="H16" s="14" t="inlineStr">
        <is>
          <t xml:space="preserve">HOLD (cash cow)</t>
        </is>
      </c>
    </row>
    <row r="17" customFormat="false" ht="15" hidden="false" customHeight="false" outlineLevel="0" collapsed="false">
      <c r="B17" s="14" t="s">
        <v>57</v>
      </c>
      <c r="C17" s="15" t="s">
        <v>55</v>
      </c>
      <c r="D17" s="21" t="n">
        <v>0.2361</v>
      </c>
      <c r="E17" s="38" t="n">
        <v>0.4502</v>
      </c>
      <c r="F17" s="21" t="n">
        <v>0.14</v>
      </c>
      <c r="G17" s="35" t="n">
        <v>0.3102</v>
      </c>
      <c r="H17" s="14" t="inlineStr">
        <is>
          <t xml:space="preserve">GROW (invest)</t>
        </is>
      </c>
    </row>
    <row r="19" customFormat="false" ht="18" hidden="false" customHeight="true" outlineLevel="0" collapsed="false">
      <c r="B19" s="5" t="s">
        <v>335</v>
      </c>
      <c r="C19" s="5"/>
      <c r="D19" s="5"/>
      <c r="E19" s="5"/>
      <c r="F19" s="5"/>
      <c r="G19" s="5"/>
      <c r="H19" s="5"/>
      <c r="I19" s="5"/>
    </row>
    <row r="20" customFormat="false" ht="30" hidden="false" customHeight="true" outlineLevel="0" collapsed="false">
      <c r="B20" s="68" t="s">
        <v>336</v>
      </c>
      <c r="C20" s="68"/>
      <c r="D20" s="68"/>
      <c r="E20" s="68"/>
      <c r="F20" s="68"/>
      <c r="G20" s="68"/>
      <c r="H20" s="68"/>
      <c r="I20" s="68"/>
      <c r="J20" s="68"/>
    </row>
    <row r="21" customFormat="false" ht="30" hidden="false" customHeight="true" outlineLevel="0" collapsed="false">
      <c r="B21" s="68" t="s">
        <v>337</v>
      </c>
      <c r="C21" s="68"/>
      <c r="D21" s="68"/>
      <c r="E21" s="68"/>
      <c r="F21" s="68"/>
      <c r="G21" s="68"/>
      <c r="H21" s="68"/>
      <c r="I21" s="68"/>
      <c r="J21" s="68"/>
    </row>
    <row r="22" customFormat="false" ht="30" hidden="false" customHeight="true" outlineLevel="0" collapsed="false">
      <c r="B22" s="68" t="s">
        <v>338</v>
      </c>
      <c r="C22" s="68"/>
      <c r="D22" s="68"/>
      <c r="E22" s="68"/>
      <c r="F22" s="68"/>
      <c r="G22" s="68"/>
      <c r="H22" s="68"/>
      <c r="I22" s="68"/>
      <c r="J22" s="68"/>
    </row>
    <row r="23" customFormat="false" ht="30" hidden="false" customHeight="true" outlineLevel="0" collapsed="false">
      <c r="B23" s="68" t="s">
        <v>339</v>
      </c>
      <c r="C23" s="68"/>
      <c r="D23" s="68"/>
      <c r="E23" s="68"/>
      <c r="F23" s="68"/>
      <c r="G23" s="68"/>
      <c r="H23" s="68"/>
      <c r="I23" s="68"/>
      <c r="J23" s="68"/>
    </row>
  </sheetData>
  <mergeCells count="6">
    <mergeCell ref="B7:I7"/>
    <mergeCell ref="B19:I19"/>
    <mergeCell ref="B20:J20"/>
    <mergeCell ref="B21:J21"/>
    <mergeCell ref="B22:J22"/>
    <mergeCell ref="B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340</v>
      </c>
    </row>
    <row r="2" customFormat="false" ht="15" hidden="false" customHeight="false" outlineLevel="0" collapsed="false">
      <c r="B2" s="13" t="s">
        <v>341</v>
      </c>
    </row>
    <row r="4" customFormat="false" ht="18" hidden="false" customHeight="true" outlineLevel="0" collapsed="false">
      <c r="B4" s="5" t="s">
        <v>342</v>
      </c>
      <c r="C4" s="5"/>
      <c r="D4" s="5"/>
      <c r="E4" s="5"/>
      <c r="F4" s="5"/>
    </row>
    <row r="5" customFormat="false" ht="15" hidden="false" customHeight="false" outlineLevel="0" collapsed="false">
      <c r="B5" s="28" t="s">
        <v>343</v>
      </c>
      <c r="D5" s="19" t="n">
        <v>72100</v>
      </c>
    </row>
    <row r="6" customFormat="false" ht="15" hidden="false" customHeight="false" outlineLevel="0" collapsed="false">
      <c r="B6" s="28" t="s">
        <v>344</v>
      </c>
      <c r="D6" s="20" t="n">
        <v>7.41</v>
      </c>
    </row>
    <row r="7" customFormat="false" ht="15" hidden="false" customHeight="false" outlineLevel="0" collapsed="false">
      <c r="B7" s="28" t="s">
        <v>345</v>
      </c>
      <c r="D7" s="20" t="n">
        <v>23.69</v>
      </c>
    </row>
    <row r="8" customFormat="false" ht="15" hidden="false" customHeight="false" outlineLevel="0" collapsed="false">
      <c r="B8" s="28" t="s">
        <v>346</v>
      </c>
      <c r="D8" s="30" t="n">
        <v>0.03</v>
      </c>
    </row>
    <row r="10" customFormat="false" ht="15" hidden="false" customHeight="false" outlineLevel="0" collapsed="false">
      <c r="B10" s="32" t="s">
        <v>347</v>
      </c>
      <c r="D10" s="18" t="n">
        <v>947660</v>
      </c>
    </row>
    <row r="11" customFormat="false" ht="15" hidden="false" customHeight="false" outlineLevel="0" collapsed="false">
      <c r="B11" s="28" t="s">
        <v>348</v>
      </c>
      <c r="D11" s="19" t="n">
        <v>2163</v>
      </c>
    </row>
    <row r="12" customFormat="false" ht="15" hidden="false" customHeight="false" outlineLevel="0" collapsed="false">
      <c r="B12" s="32" t="s">
        <v>349</v>
      </c>
      <c r="D12" s="69" t="n">
        <v>35213.64</v>
      </c>
    </row>
    <row r="13" customFormat="false" ht="15" hidden="false" customHeight="false" outlineLevel="0" collapsed="false">
      <c r="B13" s="32" t="s">
        <v>350</v>
      </c>
      <c r="D13" s="34" t="n">
        <v>982873.64</v>
      </c>
    </row>
    <row r="14" customFormat="false" ht="15" hidden="false" customHeight="false" outlineLevel="0" collapsed="false">
      <c r="B14" s="28" t="s">
        <v>351</v>
      </c>
      <c r="D14" s="21" t="n">
        <v>0.0371585167676171</v>
      </c>
    </row>
    <row r="16" customFormat="false" ht="15" hidden="false" customHeight="true" outlineLevel="0" collapsed="false">
      <c r="B16" s="10" t="s">
        <v>352</v>
      </c>
      <c r="C16" s="10"/>
      <c r="D16" s="10"/>
      <c r="E16" s="10"/>
      <c r="F16" s="10"/>
      <c r="G16" s="10"/>
      <c r="H16" s="10"/>
    </row>
    <row r="17" customFormat="false" ht="15" hidden="false" customHeight="false" outlineLevel="0" collapsed="false">
      <c r="B17" s="10"/>
      <c r="C17" s="10"/>
      <c r="D17" s="10"/>
      <c r="E17" s="10"/>
      <c r="F17" s="10"/>
      <c r="G17" s="10"/>
      <c r="H17" s="10"/>
    </row>
  </sheetData>
  <mergeCells count="2">
    <mergeCell ref="B4:F4"/>
    <mergeCell ref="B16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10" min="3" style="0" width="11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353</v>
      </c>
    </row>
    <row r="2" customFormat="false" ht="15" hidden="false" customHeight="false" outlineLevel="0" collapsed="false">
      <c r="B2" s="3" t="s">
        <v>354</v>
      </c>
    </row>
    <row r="4" customFormat="false" ht="18" hidden="false" customHeight="true" outlineLevel="0" collapsed="false">
      <c r="B4" s="5" t="s">
        <v>355</v>
      </c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B5" s="4" t="s">
        <v>44</v>
      </c>
      <c r="C5" s="4" t="s">
        <v>356</v>
      </c>
      <c r="D5" s="4" t="s">
        <v>357</v>
      </c>
      <c r="E5" s="4" t="s">
        <v>134</v>
      </c>
      <c r="F5" s="4" t="s">
        <v>358</v>
      </c>
      <c r="G5" s="4" t="s">
        <v>359</v>
      </c>
      <c r="H5" s="4" t="s">
        <v>360</v>
      </c>
      <c r="I5" s="4" t="s">
        <v>361</v>
      </c>
      <c r="J5" s="4" t="s">
        <v>362</v>
      </c>
    </row>
    <row r="6" customFormat="false" ht="15" hidden="false" customHeight="false" outlineLevel="0" collapsed="false">
      <c r="B6" s="14" t="s">
        <v>52</v>
      </c>
      <c r="C6" s="18" t="n">
        <v>1042388</v>
      </c>
      <c r="D6" s="18" t="n">
        <v>395247</v>
      </c>
      <c r="E6" s="30" t="n">
        <v>0.03</v>
      </c>
      <c r="F6" s="70" t="n">
        <v>-1.2</v>
      </c>
      <c r="G6" s="21" t="n">
        <v>-0.036</v>
      </c>
      <c r="H6" s="18" t="n">
        <v>1035007.89296</v>
      </c>
      <c r="I6" s="18" t="n">
        <v>411164.4365</v>
      </c>
      <c r="J6" s="69" t="n">
        <v>15917.4365</v>
      </c>
    </row>
    <row r="7" customFormat="false" ht="15" hidden="false" customHeight="false" outlineLevel="0" collapsed="false">
      <c r="B7" s="14" t="s">
        <v>56</v>
      </c>
      <c r="C7" s="18" t="n">
        <v>887923</v>
      </c>
      <c r="D7" s="18" t="n">
        <v>327286</v>
      </c>
      <c r="E7" s="30" t="n">
        <v>0.03</v>
      </c>
      <c r="F7" s="70" t="n">
        <v>-1.2</v>
      </c>
      <c r="G7" s="21" t="n">
        <v>-0.036</v>
      </c>
      <c r="H7" s="18" t="n">
        <v>881636.50516</v>
      </c>
      <c r="I7" s="18" t="n">
        <v>341182.3207088</v>
      </c>
      <c r="J7" s="69" t="n">
        <v>13896.3207087999</v>
      </c>
    </row>
    <row r="8" customFormat="false" ht="15" hidden="false" customHeight="false" outlineLevel="0" collapsed="false">
      <c r="B8" s="14" t="s">
        <v>57</v>
      </c>
      <c r="C8" s="18" t="n">
        <v>542083</v>
      </c>
      <c r="D8" s="18" t="n">
        <v>225127</v>
      </c>
      <c r="E8" s="30" t="n">
        <v>0.03</v>
      </c>
      <c r="F8" s="70" t="n">
        <v>-1.2</v>
      </c>
      <c r="G8" s="21" t="n">
        <v>-0.036</v>
      </c>
      <c r="H8" s="18" t="n">
        <v>538245.05236</v>
      </c>
      <c r="I8" s="18" t="n">
        <v>232699.071192</v>
      </c>
      <c r="J8" s="69" t="n">
        <v>7572.07119199997</v>
      </c>
    </row>
    <row r="10" customFormat="false" ht="15" hidden="false" customHeight="true" outlineLevel="0" collapsed="false">
      <c r="B10" s="55" t="s">
        <v>363</v>
      </c>
      <c r="C10" s="55"/>
      <c r="D10" s="55"/>
      <c r="E10" s="55"/>
      <c r="F10" s="55"/>
      <c r="G10" s="55"/>
      <c r="H10" s="55"/>
      <c r="I10" s="55"/>
    </row>
    <row r="11" customFormat="false" ht="15" hidden="false" customHeight="false" outlineLevel="0" collapsed="false">
      <c r="B11" s="55"/>
      <c r="C11" s="55"/>
      <c r="D11" s="55"/>
      <c r="E11" s="55"/>
      <c r="F11" s="55"/>
      <c r="G11" s="55"/>
      <c r="H11" s="55"/>
      <c r="I11" s="55"/>
    </row>
  </sheetData>
  <mergeCells count="2">
    <mergeCell ref="B4:I4"/>
    <mergeCell ref="B10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13" min="3" style="0" width="9"/>
  </cols>
  <sheetData>
    <row r="1" customFormat="false" ht="19.7" hidden="false" customHeight="false" outlineLevel="0" collapsed="false">
      <c r="A1" s="11" t="str">
        <f aca="false">HYPERLINK("#'0. HOME'!A1","⌂")</f>
        <v>⌂</v>
      </c>
      <c r="B1" s="71" t="s">
        <v>364</v>
      </c>
    </row>
    <row r="2" customFormat="false" ht="15" hidden="false" customHeight="false" outlineLevel="0" collapsed="false">
      <c r="B2" s="13" t="s">
        <v>365</v>
      </c>
    </row>
    <row r="4" customFormat="false" ht="18" hidden="false" customHeight="true" outlineLevel="0" collapsed="false">
      <c r="B4" s="5" t="s">
        <v>366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false" outlineLevel="0" collapsed="false">
      <c r="C5" s="72" t="s">
        <v>86</v>
      </c>
      <c r="D5" s="72"/>
      <c r="E5" s="72"/>
      <c r="F5" s="72" t="s">
        <v>367</v>
      </c>
      <c r="G5" s="72"/>
      <c r="H5" s="72"/>
      <c r="I5" s="72" t="s">
        <v>368</v>
      </c>
      <c r="J5" s="72"/>
      <c r="K5" s="72"/>
      <c r="L5" s="72" t="s">
        <v>142</v>
      </c>
      <c r="M5" s="72"/>
      <c r="N5" s="72"/>
    </row>
    <row r="6" customFormat="false" ht="21.75" hidden="false" customHeight="true" outlineLevel="0" collapsed="false">
      <c r="C6" s="73" t="n">
        <v>2738766</v>
      </c>
      <c r="D6" s="73"/>
      <c r="E6" s="73"/>
      <c r="F6" s="74" t="n">
        <v>0.115863772316636</v>
      </c>
      <c r="G6" s="74"/>
      <c r="H6" s="74"/>
      <c r="I6" s="74" t="n">
        <v>0.398</v>
      </c>
      <c r="J6" s="74"/>
      <c r="K6" s="74"/>
      <c r="L6" s="73" t="n">
        <v>532538</v>
      </c>
      <c r="M6" s="73"/>
      <c r="N6" s="73"/>
    </row>
    <row r="9" customFormat="false" ht="15" hidden="false" customHeight="false" outlineLevel="0" collapsed="false">
      <c r="C9" s="72" t="s">
        <v>369</v>
      </c>
      <c r="D9" s="72"/>
      <c r="E9" s="72"/>
      <c r="F9" s="72" t="s">
        <v>370</v>
      </c>
      <c r="G9" s="72"/>
      <c r="H9" s="72"/>
      <c r="I9" s="72" t="s">
        <v>263</v>
      </c>
      <c r="J9" s="72"/>
      <c r="K9" s="72"/>
      <c r="L9" s="72" t="s">
        <v>371</v>
      </c>
      <c r="M9" s="72"/>
      <c r="N9" s="72"/>
    </row>
    <row r="10" customFormat="false" ht="21.75" hidden="false" customHeight="true" outlineLevel="0" collapsed="false">
      <c r="C10" s="74" t="n">
        <v>0.41</v>
      </c>
      <c r="D10" s="74"/>
      <c r="E10" s="74"/>
      <c r="F10" s="73" t="n">
        <v>285327</v>
      </c>
      <c r="G10" s="73"/>
      <c r="H10" s="73"/>
      <c r="I10" s="73" t="n">
        <v>399811</v>
      </c>
      <c r="J10" s="73"/>
      <c r="K10" s="73"/>
      <c r="L10" s="73" t="n">
        <v>25189</v>
      </c>
      <c r="M10" s="73"/>
      <c r="N10" s="73"/>
    </row>
    <row r="29" customFormat="false" ht="18" hidden="false" customHeight="true" outlineLevel="0" collapsed="false">
      <c r="B29" s="5" t="s">
        <v>372</v>
      </c>
      <c r="C29" s="5"/>
      <c r="D29" s="5"/>
      <c r="E29" s="5"/>
      <c r="F29" s="5"/>
      <c r="G29" s="5"/>
    </row>
    <row r="30" customFormat="false" ht="15" hidden="false" customHeight="false" outlineLevel="0" collapsed="false">
      <c r="B30" s="37" t="s">
        <v>52</v>
      </c>
      <c r="C30" s="21" t="n">
        <v>0.3792</v>
      </c>
    </row>
    <row r="31" customFormat="false" ht="15" hidden="false" customHeight="false" outlineLevel="0" collapsed="false">
      <c r="B31" s="37" t="s">
        <v>56</v>
      </c>
      <c r="C31" s="21" t="n">
        <v>0.3686</v>
      </c>
    </row>
    <row r="32" customFormat="false" ht="15" hidden="false" customHeight="false" outlineLevel="0" collapsed="false">
      <c r="B32" s="37" t="s">
        <v>57</v>
      </c>
      <c r="C32" s="21" t="n">
        <v>0.4153</v>
      </c>
    </row>
    <row r="44" customFormat="false" ht="18" hidden="false" customHeight="true" outlineLevel="0" collapsed="false">
      <c r="B44" s="5" t="s">
        <v>373</v>
      </c>
      <c r="C44" s="5"/>
      <c r="D44" s="5"/>
      <c r="E44" s="5"/>
      <c r="F44" s="5"/>
      <c r="G44" s="5"/>
    </row>
    <row r="45" customFormat="false" ht="15" hidden="false" customHeight="false" outlineLevel="0" collapsed="false">
      <c r="B45" s="22" t="s">
        <v>68</v>
      </c>
      <c r="C45" s="22" t="s">
        <v>214</v>
      </c>
      <c r="D45" s="22" t="s">
        <v>215</v>
      </c>
      <c r="E45" s="22" t="s">
        <v>216</v>
      </c>
      <c r="F45" s="22" t="s">
        <v>217</v>
      </c>
    </row>
    <row r="46" customFormat="false" ht="15" hidden="false" customHeight="false" outlineLevel="0" collapsed="false">
      <c r="B46" s="37" t="s">
        <v>86</v>
      </c>
      <c r="C46" s="75" t="n">
        <v>2454391</v>
      </c>
      <c r="D46" s="75" t="n">
        <v>2738766</v>
      </c>
      <c r="E46" s="75" t="n">
        <v>2957867</v>
      </c>
      <c r="F46" s="75" t="n">
        <v>3194497</v>
      </c>
    </row>
    <row r="47" customFormat="false" ht="15" hidden="false" customHeight="false" outlineLevel="0" collapsed="false">
      <c r="B47" s="37" t="s">
        <v>368</v>
      </c>
      <c r="C47" s="76" t="n">
        <v>0.3788</v>
      </c>
      <c r="D47" s="76" t="n">
        <v>0.398</v>
      </c>
      <c r="E47" s="76" t="n">
        <v>0.4</v>
      </c>
      <c r="F47" s="76" t="n">
        <v>0.4</v>
      </c>
    </row>
    <row r="48" customFormat="false" ht="15" hidden="false" customHeight="false" outlineLevel="0" collapsed="false">
      <c r="B48" s="37" t="s">
        <v>142</v>
      </c>
      <c r="C48" s="75" t="n">
        <v>434692</v>
      </c>
      <c r="D48" s="75" t="n">
        <v>532538</v>
      </c>
      <c r="E48" s="75" t="n">
        <v>573428</v>
      </c>
      <c r="F48" s="75" t="n">
        <v>618753</v>
      </c>
    </row>
    <row r="49" customFormat="false" ht="15" hidden="false" customHeight="false" outlineLevel="0" collapsed="false">
      <c r="B49" s="37" t="s">
        <v>374</v>
      </c>
      <c r="C49" s="75" t="n">
        <v>285354</v>
      </c>
      <c r="D49" s="75" t="n">
        <v>363630</v>
      </c>
      <c r="E49" s="75" t="n">
        <v>409142</v>
      </c>
      <c r="F49" s="75" t="n">
        <v>448603</v>
      </c>
    </row>
    <row r="50" customFormat="false" ht="15" hidden="false" customHeight="false" outlineLevel="0" collapsed="false">
      <c r="B50" s="37" t="s">
        <v>369</v>
      </c>
      <c r="C50" s="76" t="n">
        <v>0.344</v>
      </c>
      <c r="D50" s="76" t="n">
        <v>0.41</v>
      </c>
      <c r="E50" s="76" t="n">
        <v>0.423</v>
      </c>
      <c r="F50" s="76" t="n">
        <v>0.432</v>
      </c>
    </row>
    <row r="51" customFormat="false" ht="15" hidden="false" customHeight="false" outlineLevel="0" collapsed="false">
      <c r="B51" s="37" t="s">
        <v>370</v>
      </c>
      <c r="C51" s="75" t="n">
        <v>211977</v>
      </c>
      <c r="D51" s="75" t="n">
        <v>285327</v>
      </c>
      <c r="E51" s="75" t="n">
        <v>317531</v>
      </c>
      <c r="F51" s="75" t="n">
        <v>346774</v>
      </c>
    </row>
    <row r="52" customFormat="false" ht="15" hidden="false" customHeight="false" outlineLevel="0" collapsed="false">
      <c r="B52" s="37" t="s">
        <v>263</v>
      </c>
      <c r="C52" s="75" t="n">
        <v>297098</v>
      </c>
      <c r="D52" s="75" t="n">
        <v>399811</v>
      </c>
      <c r="E52" s="75" t="n">
        <v>535158</v>
      </c>
      <c r="F52" s="75" t="n">
        <v>686879</v>
      </c>
    </row>
    <row r="53" customFormat="false" ht="15" hidden="false" customHeight="false" outlineLevel="0" collapsed="false">
      <c r="B53" s="37" t="s">
        <v>243</v>
      </c>
      <c r="C53" s="75" t="n">
        <v>475000</v>
      </c>
      <c r="D53" s="75" t="n">
        <v>425000</v>
      </c>
      <c r="E53" s="75" t="n">
        <v>375000</v>
      </c>
      <c r="F53" s="75" t="n">
        <v>325000</v>
      </c>
    </row>
  </sheetData>
  <mergeCells count="19">
    <mergeCell ref="B4:M4"/>
    <mergeCell ref="C5:E5"/>
    <mergeCell ref="F5:H5"/>
    <mergeCell ref="I5:K5"/>
    <mergeCell ref="L5:N5"/>
    <mergeCell ref="C6:E6"/>
    <mergeCell ref="F6:H6"/>
    <mergeCell ref="I6:K6"/>
    <mergeCell ref="L6:N6"/>
    <mergeCell ref="C9:E9"/>
    <mergeCell ref="F9:H9"/>
    <mergeCell ref="I9:K9"/>
    <mergeCell ref="L9:N9"/>
    <mergeCell ref="C10:E10"/>
    <mergeCell ref="F10:H10"/>
    <mergeCell ref="I10:K10"/>
    <mergeCell ref="L10:N10"/>
    <mergeCell ref="B29:G29"/>
    <mergeCell ref="B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1" t="str">
        <f aca="false">HYPERLINK("#'0. HOME'!A1","⌂")</f>
        <v>⌂</v>
      </c>
      <c r="B1" s="36" t="s">
        <v>375</v>
      </c>
    </row>
    <row r="2" customFormat="false" ht="15" hidden="false" customHeight="false" outlineLevel="0" collapsed="false">
      <c r="B2" s="13" t="s">
        <v>376</v>
      </c>
    </row>
    <row r="4" customFormat="false" ht="18" hidden="false" customHeight="true" outlineLevel="0" collapsed="false">
      <c r="B4" s="5" t="s">
        <v>377</v>
      </c>
      <c r="C4" s="5"/>
      <c r="D4" s="5"/>
      <c r="E4" s="5"/>
      <c r="F4" s="5"/>
      <c r="G4" s="5"/>
    </row>
    <row r="5" customFormat="false" ht="15" hidden="false" customHeight="false" outlineLevel="0" collapsed="false">
      <c r="B5" s="4" t="s">
        <v>3</v>
      </c>
      <c r="C5" s="4" t="s">
        <v>378</v>
      </c>
      <c r="D5" s="4" t="s">
        <v>379</v>
      </c>
      <c r="E5" s="4" t="s">
        <v>380</v>
      </c>
    </row>
    <row r="6" customFormat="false" ht="15" hidden="false" customHeight="false" outlineLevel="0" collapsed="false">
      <c r="B6" s="15" t="s">
        <v>381</v>
      </c>
      <c r="C6" s="77" t="s">
        <v>382</v>
      </c>
      <c r="D6" s="39" t="s">
        <v>383</v>
      </c>
      <c r="E6" s="78" t="s">
        <v>384</v>
      </c>
    </row>
    <row r="7" customFormat="false" ht="23.85" hidden="false" customHeight="false" outlineLevel="0" collapsed="false">
      <c r="B7" s="15" t="s">
        <v>385</v>
      </c>
      <c r="C7" s="77" t="s">
        <v>386</v>
      </c>
      <c r="D7" s="39" t="s">
        <v>387</v>
      </c>
      <c r="E7" s="78" t="s">
        <v>388</v>
      </c>
    </row>
    <row r="8" customFormat="false" ht="15" hidden="false" customHeight="false" outlineLevel="0" collapsed="false">
      <c r="B8" s="15" t="s">
        <v>389</v>
      </c>
      <c r="C8" s="77" t="s">
        <v>390</v>
      </c>
      <c r="D8" s="39" t="s">
        <v>391</v>
      </c>
      <c r="E8" s="78" t="s">
        <v>392</v>
      </c>
    </row>
    <row r="9" customFormat="false" ht="15" hidden="false" customHeight="false" outlineLevel="0" collapsed="false">
      <c r="B9" s="15" t="s">
        <v>393</v>
      </c>
      <c r="C9" s="77" t="s">
        <v>394</v>
      </c>
      <c r="D9" s="39" t="s">
        <v>395</v>
      </c>
      <c r="E9" s="78" t="s">
        <v>396</v>
      </c>
    </row>
    <row r="10" customFormat="false" ht="15" hidden="false" customHeight="false" outlineLevel="0" collapsed="false">
      <c r="B10" s="15" t="s">
        <v>397</v>
      </c>
      <c r="C10" s="77" t="s">
        <v>398</v>
      </c>
      <c r="D10" s="39" t="s">
        <v>399</v>
      </c>
      <c r="E10" s="78" t="s">
        <v>400</v>
      </c>
    </row>
    <row r="11" customFormat="false" ht="15" hidden="false" customHeight="false" outlineLevel="0" collapsed="false">
      <c r="B11" s="15" t="s">
        <v>401</v>
      </c>
      <c r="C11" s="77" t="s">
        <v>402</v>
      </c>
      <c r="D11" s="39" t="s">
        <v>403</v>
      </c>
      <c r="E11" s="78" t="s">
        <v>404</v>
      </c>
    </row>
    <row r="12" customFormat="false" ht="15" hidden="false" customHeight="false" outlineLevel="0" collapsed="false">
      <c r="B12" s="15" t="s">
        <v>405</v>
      </c>
      <c r="C12" s="77" t="s">
        <v>406</v>
      </c>
      <c r="D12" s="39" t="s">
        <v>407</v>
      </c>
      <c r="E12" s="78" t="s">
        <v>408</v>
      </c>
    </row>
    <row r="13" customFormat="false" ht="15" hidden="false" customHeight="false" outlineLevel="0" collapsed="false">
      <c r="B13" s="15" t="s">
        <v>409</v>
      </c>
      <c r="C13" s="77" t="s">
        <v>410</v>
      </c>
      <c r="D13" s="39" t="s">
        <v>411</v>
      </c>
      <c r="E13" s="78" t="s">
        <v>412</v>
      </c>
    </row>
    <row r="14" customFormat="false" ht="15" hidden="false" customHeight="false" outlineLevel="0" collapsed="false">
      <c r="B14" s="15" t="s">
        <v>413</v>
      </c>
      <c r="C14" s="77" t="s">
        <v>414</v>
      </c>
      <c r="D14" s="39" t="s">
        <v>415</v>
      </c>
      <c r="E14" s="78" t="s">
        <v>416</v>
      </c>
    </row>
    <row r="15" customFormat="false" ht="15" hidden="false" customHeight="false" outlineLevel="0" collapsed="false">
      <c r="B15" s="15" t="s">
        <v>417</v>
      </c>
      <c r="C15" s="77" t="s">
        <v>418</v>
      </c>
      <c r="D15" s="39" t="s">
        <v>419</v>
      </c>
      <c r="E15" s="78" t="s">
        <v>420</v>
      </c>
    </row>
    <row r="18" customFormat="false" ht="18" hidden="false" customHeight="true" outlineLevel="0" collapsed="false">
      <c r="B18" s="5" t="s">
        <v>421</v>
      </c>
      <c r="C18" s="5"/>
      <c r="D18" s="5"/>
      <c r="E18" s="5"/>
      <c r="F18" s="5"/>
      <c r="G18" s="5"/>
    </row>
    <row r="19" customFormat="false" ht="27.75" hidden="false" customHeight="true" outlineLevel="0" collapsed="false">
      <c r="B19" s="79" t="inlineStr">
        <is>
          <t xml:space="preserve">1. FY26 plan result: net revenue 2,738,766 (USD '000), up 11.6% vs FY25.</t>
        </is>
      </c>
      <c r="C19" s="79"/>
      <c r="D19" s="79"/>
      <c r="E19" s="79"/>
      <c r="F19" s="79"/>
      <c r="G19" s="79"/>
    </row>
    <row r="20" customFormat="false" ht="27.75" hidden="false" customHeight="true" outlineLevel="0" collapsed="false">
      <c r="B20" s="79" t="inlineStr">
        <is>
          <t xml:space="preserve">2. Profitability: EBITDA 532,538 (USD '000); gross margin 39.8%; net income 363,630 (USD '000).</t>
        </is>
      </c>
      <c r="C20" s="79"/>
      <c r="D20" s="79"/>
      <c r="E20" s="79"/>
      <c r="F20" s="79"/>
      <c r="G20" s="79"/>
    </row>
    <row r="21" customFormat="false" ht="27.75" hidden="false" customHeight="true" outlineLevel="0" collapsed="false">
      <c r="B21" s="79" t="inlineStr">
        <is>
          <t xml:space="preserve">3. Value creation: ROIC 41.0% far exceeds WACC of 11% → Economic Profit 285,327 (USD '000) — the company creates value.</t>
        </is>
      </c>
      <c r="C21" s="79"/>
      <c r="D21" s="79"/>
      <c r="E21" s="79"/>
      <c r="F21" s="79"/>
      <c r="G21" s="79"/>
    </row>
    <row r="22" customFormat="false" ht="27.75" hidden="false" customHeight="true" outlineLevel="0" collapsed="false">
      <c r="B22" s="79" t="inlineStr">
        <is>
          <t xml:space="preserve">4. Liquidity &amp; leverage: closing cash 399,811 (USD '000); net debt 25,189 (USD '000).</t>
        </is>
      </c>
      <c r="C22" s="79"/>
      <c r="D22" s="79"/>
      <c r="E22" s="79"/>
      <c r="F22" s="79"/>
      <c r="G22" s="79"/>
    </row>
    <row r="23" customFormat="false" ht="42" hidden="false" customHeight="true" outlineLevel="0" collapsed="false">
      <c r="B23" s="79" t="s">
        <v>422</v>
      </c>
      <c r="C23" s="79"/>
      <c r="D23" s="79"/>
      <c r="E23" s="79"/>
      <c r="F23" s="79"/>
      <c r="G23" s="79"/>
    </row>
    <row r="24" customFormat="false" ht="42" hidden="false" customHeight="true" outlineLevel="0" collapsed="false">
      <c r="B24" s="79" t="s">
        <v>423</v>
      </c>
      <c r="C24" s="79"/>
      <c r="D24" s="79"/>
      <c r="E24" s="79"/>
      <c r="F24" s="79"/>
      <c r="G24" s="79"/>
    </row>
  </sheetData>
  <mergeCells count="8">
    <mergeCell ref="B4:G4"/>
    <mergeCell ref="B18:G18"/>
    <mergeCell ref="B19:G19"/>
    <mergeCell ref="B20:G20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2026-09-06T14:13:51Z</dcterms:created>
  <dc:creator>openpyxl</dc:creator>
  <dc:description/>
  <dc:language>en-US</dc:language>
  <cp:lastModifiedBy/>
  <dcterms:modified xsi:type="dcterms:W3CDTF">2026-09-06T14:13:55Z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