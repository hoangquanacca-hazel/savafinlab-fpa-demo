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MA_02012026\FTMS\"/>
    </mc:Choice>
  </mc:AlternateContent>
  <xr:revisionPtr revIDLastSave="0" documentId="8_{8B04EA80-D7E0-458C-A195-01E5CC7F8393}" xr6:coauthVersionLast="47" xr6:coauthVersionMax="47" xr10:uidLastSave="{00000000-0000-0000-0000-000000000000}"/>
  <bookViews>
    <workbookView xWindow="-120" yWindow="-120" windowWidth="29040" windowHeight="15720" tabRatio="832" firstSheet="2" activeTab="11" xr2:uid="{CB1361CD-623C-45B9-9CD7-F6716D991C1D}"/>
  </bookViews>
  <sheets>
    <sheet name="Dashboard" sheetId="1" r:id="rId1"/>
    <sheet name="Assumptions" sheetId="2" r:id="rId2"/>
    <sheet name="Inputs" sheetId="3" r:id="rId3"/>
    <sheet name="Revenue" sheetId="4" r:id="rId4"/>
    <sheet name="P&amp;L" sheetId="5" r:id="rId5"/>
    <sheet name="Cash Flow" sheetId="6" r:id="rId6"/>
    <sheet name="Chart Data" sheetId="7" state="hidden" r:id="rId7"/>
    <sheet name="Budget FY2027" sheetId="8" r:id="rId8"/>
    <sheet name="Variance FY2027" sheetId="9" r:id="rId9"/>
    <sheet name="Budget Dashboard" sheetId="10" r:id="rId10"/>
    <sheet name="Budget FY2026" sheetId="11" r:id="rId11"/>
    <sheet name="Variance FY2026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<sst xmlns="http://schemas.openxmlformats.org/spreadsheetml/2006/main" count="299" uniqueCount="166">
  <si>
    <t>DAIRYNOVA | ROLLING FORECAST</t>
  </si>
  <si>
    <t>Actuals cut-off month</t>
  </si>
  <si>
    <t>Scenario</t>
  </si>
  <si>
    <t>Base</t>
  </si>
  <si>
    <t>Opening cash (USD '000)</t>
  </si>
  <si>
    <t>Opening NWC (USD '000)</t>
  </si>
  <si>
    <t>Driver</t>
  </si>
  <si>
    <t>Upside</t>
  </si>
  <si>
    <t>Downside</t>
  </si>
  <si>
    <t>Volume growth factor</t>
  </si>
  <si>
    <t>Price growth factor</t>
  </si>
  <si>
    <t>Raw-material inflation/year</t>
  </si>
  <si>
    <t>Marketing / Revenue</t>
  </si>
  <si>
    <t>Salary growth/year</t>
  </si>
  <si>
    <t>G&amp;A growth/year</t>
  </si>
  <si>
    <t>DSO (days)</t>
  </si>
  <si>
    <t>DIO (days)</t>
  </si>
  <si>
    <t>DPO (days)</t>
  </si>
  <si>
    <t>Capex / Revenue</t>
  </si>
  <si>
    <t>Tax rate</t>
  </si>
  <si>
    <t>Product</t>
  </si>
  <si>
    <t>Unit</t>
  </si>
  <si>
    <t>Opening volume</t>
  </si>
  <si>
    <t>Opening ASP (USD per '000 units)</t>
  </si>
  <si>
    <t>Volume growth/month</t>
  </si>
  <si>
    <t>Price growth/year</t>
  </si>
  <si>
    <t>COGS/Revenue</t>
  </si>
  <si>
    <t>Note</t>
  </si>
  <si>
    <t>Fresh milk</t>
  </si>
  <si>
    <t>'000 cases</t>
  </si>
  <si>
    <t>Core portfolio</t>
  </si>
  <si>
    <t>Powdered milk</t>
  </si>
  <si>
    <t>'000 boxes</t>
  </si>
  <si>
    <t>Lower profit margin</t>
  </si>
  <si>
    <t>Yogurt</t>
  </si>
  <si>
    <t>'000 trays</t>
  </si>
  <si>
    <t>Fast growth</t>
  </si>
  <si>
    <t>Condensed milk</t>
  </si>
  <si>
    <t>'000 can cases</t>
  </si>
  <si>
    <t>Stable portfolio</t>
  </si>
  <si>
    <t>Convention</t>
  </si>
  <si>
    <t>Volume ('000 units) × ASP (USD per '000 units) / 1,000 = USD '000</t>
  </si>
  <si>
    <t>ACTUAL INPUTS | SIMULATED DATA</t>
  </si>
  <si>
    <t>Month</t>
  </si>
  <si>
    <t>Status</t>
  </si>
  <si>
    <t>Vol Fresh milk</t>
  </si>
  <si>
    <t>ASP Fresh milk</t>
  </si>
  <si>
    <t>Vol Powdered milk</t>
  </si>
  <si>
    <t>ASP Powdered milk</t>
  </si>
  <si>
    <t>Vol Yogurt</t>
  </si>
  <si>
    <t>ASP Yogurt</t>
  </si>
  <si>
    <t>Vol Condensed milk</t>
  </si>
  <si>
    <t>ASP Condensed milk</t>
  </si>
  <si>
    <t>COGS</t>
  </si>
  <si>
    <t>Payroll</t>
  </si>
  <si>
    <t>Marketing</t>
  </si>
  <si>
    <t>G&amp;A</t>
  </si>
  <si>
    <t>D&amp;A</t>
  </si>
  <si>
    <t>Capex</t>
  </si>
  <si>
    <t>Actual</t>
  </si>
  <si>
    <t>Forecast</t>
  </si>
  <si>
    <t>REVENUE BUILD | VOLUME × SELLING PRICE</t>
  </si>
  <si>
    <t>Line item</t>
  </si>
  <si>
    <t>Fresh milk | Volume</t>
  </si>
  <si>
    <t>Fresh milk | ASP</t>
  </si>
  <si>
    <t>Fresh milk | Revenue</t>
  </si>
  <si>
    <t>Powdered milk | Volume</t>
  </si>
  <si>
    <t>Powdered milk | ASP</t>
  </si>
  <si>
    <t>Powdered milk | Revenue</t>
  </si>
  <si>
    <t>Yogurt | Volume</t>
  </si>
  <si>
    <t>Yogurt | ASP</t>
  </si>
  <si>
    <t>Yogurt | Revenue</t>
  </si>
  <si>
    <t>Condensed milk | Volume</t>
  </si>
  <si>
    <t>Condensed milk | ASP</t>
  </si>
  <si>
    <t>Condensed milk | Revenue</t>
  </si>
  <si>
    <t>TOTAL REVENUE</t>
  </si>
  <si>
    <t>PROFIT &amp; LOSS | ACTUAL + ROLLING FORECAST</t>
  </si>
  <si>
    <t>Revenue</t>
  </si>
  <si>
    <t>Gross profit</t>
  </si>
  <si>
    <t>Gross margin</t>
  </si>
  <si>
    <t>EBITDA</t>
  </si>
  <si>
    <t>EBITDA margin</t>
  </si>
  <si>
    <t>EBIT</t>
  </si>
  <si>
    <t>Interest expense</t>
  </si>
  <si>
    <t>Profit before tax</t>
  </si>
  <si>
    <t>Corporate income tax</t>
  </si>
  <si>
    <t>Net profit after tax</t>
  </si>
  <si>
    <t>CASH FLOW | LIQUIDITY FORECAST</t>
  </si>
  <si>
    <t>Tax paid</t>
  </si>
  <si>
    <t>Receivables</t>
  </si>
  <si>
    <t>Inventory</t>
  </si>
  <si>
    <t>Payables</t>
  </si>
  <si>
    <t>NWC</t>
  </si>
  <si>
    <t>Change in NWC</t>
  </si>
  <si>
    <t>Free Cash Flow</t>
  </si>
  <si>
    <t>Opening cash</t>
  </si>
  <si>
    <t>Closing cash</t>
  </si>
  <si>
    <t>DAIRYNOVA</t>
  </si>
  <si>
    <t>CUT-OFF MONTH</t>
  </si>
  <si>
    <t>SCENARIO</t>
  </si>
  <si>
    <t>DAIRYNOVA | BUDGET FISCAL YEAR 2027</t>
  </si>
  <si>
    <t>Budget assumptions</t>
  </si>
  <si>
    <t>Value</t>
  </si>
  <si>
    <t>Fiscal year</t>
  </si>
  <si>
    <t>Revenue stretch vs Forecast</t>
  </si>
  <si>
    <t>COGS ratio improvement</t>
  </si>
  <si>
    <t>Payroll provision vs Forecast</t>
  </si>
  <si>
    <t>G&amp;A efficiency vs Forecast</t>
  </si>
  <si>
    <t>Forecast Revenue</t>
  </si>
  <si>
    <t>Budget Revenue</t>
  </si>
  <si>
    <t>Growth vs Forecast</t>
  </si>
  <si>
    <t>Forecast COGS</t>
  </si>
  <si>
    <t>Budget COGS</t>
  </si>
  <si>
    <t>VARIANCE ANALYSIS | FORECAST VS BUDGET FY2027</t>
  </si>
  <si>
    <t>Budget FY2027</t>
  </si>
  <si>
    <t>Forecast FY2027</t>
  </si>
  <si>
    <t>Variance</t>
  </si>
  <si>
    <t>Variance %</t>
  </si>
  <si>
    <t>Assessment</t>
  </si>
  <si>
    <t>Monthly movement</t>
  </si>
  <si>
    <t>BUDGET VS FORECAST DETAIL BY MONTH</t>
  </si>
  <si>
    <t>Budget EBITDA</t>
  </si>
  <si>
    <t>Forecast EBITDA</t>
  </si>
  <si>
    <t>Budget FCF</t>
  </si>
  <si>
    <t>Forecast FCF</t>
  </si>
  <si>
    <t>DAIRYNOVA | BUDGET FISCAL YEAR 2026</t>
  </si>
  <si>
    <t>Revenue plan Jan vs Actual</t>
  </si>
  <si>
    <t>Revenue plan Dec vs Actual</t>
  </si>
  <si>
    <t>Payroll below Actual</t>
  </si>
  <si>
    <t>G&amp;A below Actual</t>
  </si>
  <si>
    <t>Actual Revenue</t>
  </si>
  <si>
    <t>Variance Revenue</t>
  </si>
  <si>
    <t>Actual COGS</t>
  </si>
  <si>
    <t>Gross profit Budget</t>
  </si>
  <si>
    <t>Gross margin Budget</t>
  </si>
  <si>
    <t>Payroll Budget</t>
  </si>
  <si>
    <t>Marketing Budget</t>
  </si>
  <si>
    <t>G&amp;A Budget</t>
  </si>
  <si>
    <t>EBITDA Budget</t>
  </si>
  <si>
    <t>EBITDA margin Budget</t>
  </si>
  <si>
    <t>D&amp;A Budget</t>
  </si>
  <si>
    <t>EBIT Budget</t>
  </si>
  <si>
    <t>VARIANCE ANALYSIS | ACTUAL VS BUDGET FY2026</t>
  </si>
  <si>
    <t>Budget FY2026</t>
  </si>
  <si>
    <t>Actual FY2026</t>
  </si>
  <si>
    <t>ACTUAL VS BUDGET DETAIL BY MONTH</t>
  </si>
  <si>
    <t>Actual EBITDA</t>
  </si>
  <si>
    <t>Variance EBITDA</t>
  </si>
  <si>
    <t>Actual FCF</t>
  </si>
  <si>
    <t>Variance FCF</t>
  </si>
  <si>
    <t>Rolling Forecast | 12 months Actual 2026 + 12 months Forecast 2027</t>
  </si>
  <si>
    <t>REVENUE FORECAST FY2027</t>
  </si>
  <si>
    <t>EBITDA MARGIN FY2027</t>
  </si>
  <si>
    <t>FCF FORECAST FY2027</t>
  </si>
  <si>
    <t>CLOSING CASH FY2027</t>
  </si>
  <si>
    <t>BUDGET PERFORMANCE | FY2026 ACTUAL &amp; FY2027 FORECAST</t>
  </si>
  <si>
    <t>Tracks the performance gap vs Budget across two fiscal years</t>
  </si>
  <si>
    <t>FY2026 REVENUE VARIANCE</t>
  </si>
  <si>
    <t>FY2026 EBITDA VARIANCE</t>
  </si>
  <si>
    <t>FY2027 REVENUE VARIANCE</t>
  </si>
  <si>
    <t>FY2027 EBITDA VARIANCE</t>
  </si>
  <si>
    <t>FY2026 FCF VARIANCE</t>
  </si>
  <si>
    <t>FY2027 FCF VARIANCE</t>
  </si>
  <si>
    <t>FY2026 STATUS</t>
  </si>
  <si>
    <t>FY2027 STATUS</t>
  </si>
  <si>
    <t>How to use: update Actuals in Inputs, change the cut-off month and pick a scenario in Assumptions. The model holds 12 months of 2026 Actuals and 12 months of 2027 Forecast.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</si>
</sst>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 yyyy"/>
    <numFmt numFmtId="165" formatCode="0.0%"/>
    <numFmt numFmtId="166" formatCode="0.0"/>
    <numFmt numFmtId="167" formatCode="#,##0.0"/>
    <numFmt numFmtId="168" formatCode="#,##0\ &quot;k&quot;"/>
    <numFmt numFmtId="169" formatCode="mmm"/>
  </numFmts>
  <fonts count="20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1"/>
      <name val="Aptos"/>
    </font>
    <font>
      <sz val="10"/>
      <color theme="1"/>
      <name val="Aptos"/>
    </font>
    <font>
      <b/>
      <sz val="10"/>
      <color rgb="FFFFFFFF"/>
      <name val="Aptos"/>
    </font>
    <font>
      <b/>
      <sz val="11"/>
      <color rgb="FFFFFFFF"/>
      <name val="Aptos Narrow"/>
      <family val="2"/>
      <charset val="163"/>
      <scheme val="minor"/>
    </font>
    <font>
      <b/>
      <sz val="16"/>
      <color rgb="FFFFFFFF"/>
      <name val="Aptos"/>
    </font>
    <font>
      <b/>
      <sz val="16"/>
      <color rgb="FFFFFFFF"/>
      <name val="Aptos Narrow"/>
      <family val="2"/>
      <charset val="163"/>
      <scheme val="minor"/>
    </font>
    <font>
      <b/>
      <sz val="10"/>
      <color theme="1"/>
      <name val="Aptos"/>
    </font>
    <font>
      <sz val="10"/>
      <color rgb="FF287A52"/>
      <name val="Aptos"/>
    </font>
    <font>
      <sz val="10"/>
      <color rgb="FF5B6573"/>
      <name val="Aptos"/>
    </font>
    <font>
      <b/>
      <sz val="10"/>
      <color rgb="FF16324F"/>
      <name val="Aptos"/>
    </font>
    <font>
      <b/>
      <sz val="11"/>
      <color rgb="FFFFFFFF"/>
      <name val="Aptos"/>
    </font>
    <font>
      <b/>
      <sz val="22"/>
      <color rgb="FFFFFFFF"/>
      <name val="Aptos"/>
    </font>
    <font>
      <sz val="11"/>
      <color rgb="FFD9E7F0"/>
      <name val="Aptos"/>
    </font>
    <font>
      <b/>
      <sz val="16"/>
      <color theme="1"/>
      <name val="Aptos"/>
    </font>
    <font>
      <sz val="11"/>
      <color rgb="FF5B6573"/>
      <name val="Aptos"/>
    </font>
    <font>
      <i/>
      <sz val="10"/>
      <color theme="1"/>
      <name val="Aptos"/>
    </font>
    <font>
      <b/>
      <sz val="10"/>
      <color rgb="FFA33A3A"/>
      <name val="Aptos"/>
    </font>
    <font>
      <b/>
      <sz val="10"/>
      <color rgb="FF246447"/>
      <name val="Aptos"/>
    </font>
  </fonts>
  <fills count="11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1F6E8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FE8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EAF2F7"/>
        <bgColor indexed="64"/>
      </patternFill>
    </fill>
    <fill>
      <patternFill patternType="solid">
        <fgColor rgb="FFF3F8FB"/>
        <bgColor indexed="64"/>
      </patternFill>
    </fill>
    <fill>
      <patternFill patternType="solid">
        <fgColor rgb="FFDDEAF2"/>
        <bgColor indexed="64"/>
      </patternFill>
    </fill>
    <fill>
      <patternFill patternType="solid">
        <fgColor rgb="FFF8D7D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2" fillId="0" borderId="0" xfId="0" applyFont="1"/>
    <xf numFmtId="0" fontId="3" fillId="0" borderId="0" xfId="0" applyFont="1"/>
    <xf numFmtId="165" fontId="3" fillId="0" borderId="0" xfId="0" applyNumberFormat="1" applyFont="1"/>
    <xf numFmtId="166" fontId="3" fillId="0" borderId="0" xfId="0" applyNumberFormat="1" applyFont="1"/>
    <xf numFmtId="3" fontId="3" fillId="0" borderId="0" xfId="0" applyNumberFormat="1" applyFont="1"/>
    <xf numFmtId="167" fontId="3" fillId="0" borderId="0" xfId="0" applyNumberFormat="1" applyFont="1"/>
    <xf numFmtId="0" fontId="4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4" fillId="3" borderId="0" xfId="0" applyFont="1" applyFill="1"/>
    <xf numFmtId="164" fontId="8" fillId="4" borderId="0" xfId="0" applyNumberFormat="1" applyFont="1" applyFill="1"/>
    <xf numFmtId="0" fontId="8" fillId="4" borderId="0" xfId="0" applyFont="1" applyFill="1"/>
    <xf numFmtId="0" fontId="8" fillId="0" borderId="0" xfId="0" applyFont="1"/>
    <xf numFmtId="0" fontId="3" fillId="0" borderId="0" xfId="0" applyFont="1" applyBorder="1"/>
    <xf numFmtId="165" fontId="3" fillId="0" borderId="0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4" fillId="3" borderId="0" xfId="0" applyFont="1" applyFill="1" applyAlignment="1">
      <alignment wrapText="1"/>
    </xf>
    <xf numFmtId="164" fontId="3" fillId="5" borderId="0" xfId="0" applyNumberFormat="1" applyFont="1" applyFill="1"/>
    <xf numFmtId="166" fontId="3" fillId="5" borderId="0" xfId="0" applyNumberFormat="1" applyFont="1" applyFill="1"/>
    <xf numFmtId="3" fontId="3" fillId="5" borderId="0" xfId="0" applyNumberFormat="1" applyFont="1" applyFill="1"/>
    <xf numFmtId="2" fontId="3" fillId="5" borderId="0" xfId="0" applyNumberFormat="1" applyFont="1" applyFill="1"/>
    <xf numFmtId="167" fontId="3" fillId="5" borderId="0" xfId="0" applyNumberFormat="1" applyFont="1" applyFill="1"/>
    <xf numFmtId="164" fontId="3" fillId="6" borderId="0" xfId="0" applyNumberFormat="1" applyFont="1" applyFill="1"/>
    <xf numFmtId="166" fontId="3" fillId="6" borderId="0" xfId="0" applyNumberFormat="1" applyFont="1" applyFill="1"/>
    <xf numFmtId="3" fontId="3" fillId="6" borderId="0" xfId="0" applyNumberFormat="1" applyFont="1" applyFill="1"/>
    <xf numFmtId="2" fontId="3" fillId="6" borderId="0" xfId="0" applyNumberFormat="1" applyFont="1" applyFill="1"/>
    <xf numFmtId="167" fontId="3" fillId="6" borderId="0" xfId="0" applyNumberFormat="1" applyFont="1" applyFill="1"/>
    <xf numFmtId="0" fontId="9" fillId="5" borderId="0" xfId="0" applyFont="1" applyFill="1"/>
    <xf numFmtId="0" fontId="10" fillId="6" borderId="0" xfId="0" applyFont="1" applyFill="1"/>
    <xf numFmtId="0" fontId="8" fillId="7" borderId="0" xfId="0" applyFont="1" applyFill="1"/>
    <xf numFmtId="0" fontId="8" fillId="7" borderId="0" xfId="0" applyFont="1" applyFill="1" applyAlignment="1">
      <alignment horizontal="center"/>
    </xf>
    <xf numFmtId="164" fontId="8" fillId="7" borderId="0" xfId="0" applyNumberFormat="1" applyFont="1" applyFill="1" applyAlignment="1">
      <alignment horizontal="center"/>
    </xf>
    <xf numFmtId="0" fontId="1" fillId="0" borderId="0" xfId="0" applyFont="1"/>
    <xf numFmtId="0" fontId="4" fillId="2" borderId="0" xfId="0" applyFont="1" applyFill="1"/>
    <xf numFmtId="167" fontId="4" fillId="2" borderId="0" xfId="0" applyNumberFormat="1" applyFont="1" applyFill="1"/>
    <xf numFmtId="0" fontId="8" fillId="8" borderId="0" xfId="0" applyFont="1" applyFill="1"/>
    <xf numFmtId="167" fontId="3" fillId="8" borderId="0" xfId="0" applyNumberFormat="1" applyFont="1" applyFill="1"/>
    <xf numFmtId="165" fontId="3" fillId="8" borderId="0" xfId="0" applyNumberFormat="1" applyFont="1" applyFill="1"/>
    <xf numFmtId="0" fontId="8" fillId="5" borderId="0" xfId="0" applyFont="1" applyFill="1"/>
    <xf numFmtId="167" fontId="8" fillId="5" borderId="0" xfId="0" applyNumberFormat="1" applyFont="1" applyFill="1"/>
    <xf numFmtId="165" fontId="8" fillId="5" borderId="0" xfId="0" applyNumberFormat="1" applyFont="1" applyFill="1"/>
    <xf numFmtId="167" fontId="8" fillId="7" borderId="0" xfId="0" applyNumberFormat="1" applyFont="1" applyFill="1"/>
    <xf numFmtId="164" fontId="11" fillId="9" borderId="0" xfId="0" applyNumberFormat="1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13" fillId="2" borderId="0" xfId="0" applyFont="1" applyFill="1"/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2" fillId="3" borderId="0" xfId="0" applyFont="1" applyFill="1" applyAlignment="1">
      <alignment horizontal="center"/>
    </xf>
    <xf numFmtId="164" fontId="15" fillId="7" borderId="0" xfId="0" applyNumberFormat="1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168" fontId="15" fillId="7" borderId="0" xfId="0" applyNumberFormat="1" applyFont="1" applyFill="1" applyAlignment="1">
      <alignment horizontal="center" vertical="center"/>
    </xf>
    <xf numFmtId="165" fontId="15" fillId="7" borderId="0" xfId="0" applyNumberFormat="1" applyFont="1" applyFill="1" applyAlignment="1">
      <alignment horizontal="center" vertical="center"/>
    </xf>
    <xf numFmtId="0" fontId="16" fillId="4" borderId="0" xfId="0" applyFont="1" applyFill="1" applyAlignment="1">
      <alignment vertical="center" wrapText="1"/>
    </xf>
    <xf numFmtId="0" fontId="6" fillId="2" borderId="0" xfId="0" applyFont="1" applyFill="1"/>
    <xf numFmtId="165" fontId="8" fillId="4" borderId="0" xfId="0" applyNumberFormat="1" applyFont="1" applyFill="1"/>
    <xf numFmtId="1" fontId="8" fillId="4" borderId="0" xfId="0" applyNumberFormat="1" applyFont="1" applyFill="1"/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17" fillId="0" borderId="0" xfId="0" applyFont="1"/>
    <xf numFmtId="165" fontId="17" fillId="0" borderId="0" xfId="0" applyNumberFormat="1" applyFont="1"/>
    <xf numFmtId="169" fontId="8" fillId="7" borderId="0" xfId="0" applyNumberFormat="1" applyFont="1" applyFill="1"/>
    <xf numFmtId="169" fontId="8" fillId="7" borderId="0" xfId="0" applyNumberFormat="1" applyFont="1" applyFill="1" applyAlignment="1">
      <alignment horizontal="center"/>
    </xf>
    <xf numFmtId="0" fontId="18" fillId="10" borderId="0" xfId="0" applyFont="1" applyFill="1" applyAlignment="1">
      <alignment horizontal="center"/>
    </xf>
    <xf numFmtId="0" fontId="19" fillId="5" borderId="0" xfId="0" applyFont="1" applyFill="1" applyAlignment="1">
      <alignment horizontal="center"/>
    </xf>
    <xf numFmtId="0" fontId="12" fillId="3" borderId="0" xfId="0" applyFont="1" applyFill="1" applyBorder="1" applyAlignment="1">
      <alignment horizontal="center"/>
    </xf>
    <xf numFmtId="168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5" fillId="2" borderId="0" xfId="0" applyFont="1" applyFill="1"/>
    <xf numFmtId="0" fontId="1" fillId="7" borderId="0" xfId="0" applyFont="1" applyFill="1" applyAlignment="1">
      <alignment horizontal="center"/>
    </xf>
    <xf numFmtId="169" fontId="1" fillId="7" borderId="0" xfId="0" applyNumberFormat="1" applyFont="1" applyFill="1" applyAlignment="1">
      <alignment horizontal="center"/>
    </xf>
    <xf numFmtId="0" fontId="0" fillId="5" borderId="0" xfId="0" applyFill="1"/>
    <xf numFmtId="167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(USD '000)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Revenue</c:v>
                </c:pt>
              </c:strCache>
            </c:strRef>
          </c:tx>
          <c:spPr>
            <a:ln w="31750" cap="rnd">
              <a:solidFill>
                <a:srgbClr val="1F6E8C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Data'!$A$2:$A$25</c:f>
              <c:numCache>
                <c:formatCode>mmm\ yyyy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'Chart Data'!$B$2:$B$25</c:f>
              <c:numCache>
                <c:formatCode>#,##0.0</c:formatCode>
                <c:ptCount val="24"/>
                <c:pt idx="0">
                  <c:v>2891.6005</c:v>
                </c:pt>
                <c:pt idx="1">
                  <c:v>2930.8661400000001</c:v>
                </c:pt>
                <c:pt idx="2">
                  <c:v>2970.3078600000003</c:v>
                </c:pt>
                <c:pt idx="3">
                  <c:v>3009.9256599999999</c:v>
                </c:pt>
                <c:pt idx="4">
                  <c:v>3049.7195400000001</c:v>
                </c:pt>
                <c:pt idx="5">
                  <c:v>3089.6895</c:v>
                </c:pt>
                <c:pt idx="6">
                  <c:v>3129.83554</c:v>
                </c:pt>
                <c:pt idx="7">
                  <c:v>3170.1576600000003</c:v>
                </c:pt>
                <c:pt idx="8">
                  <c:v>3210.6558599999998</c:v>
                </c:pt>
                <c:pt idx="9">
                  <c:v>3268.2876400000005</c:v>
                </c:pt>
                <c:pt idx="10">
                  <c:v>3309.183</c:v>
                </c:pt>
                <c:pt idx="11">
                  <c:v>3350.2544399999997</c:v>
                </c:pt>
                <c:pt idx="12">
                  <c:v>3383.7869157133009</c:v>
                </c:pt>
                <c:pt idx="13">
                  <c:v>3417.6750892271139</c:v>
                </c:pt>
                <c:pt idx="14">
                  <c:v>3451.922926967889</c:v>
                </c:pt>
                <c:pt idx="15">
                  <c:v>3486.5344414481224</c:v>
                </c:pt>
                <c:pt idx="16">
                  <c:v>3521.5136918199396</c:v>
                </c:pt>
                <c:pt idx="17">
                  <c:v>3556.8647844355169</c:v>
                </c:pt>
                <c:pt idx="18">
                  <c:v>3592.5918734144107</c:v>
                </c:pt>
                <c:pt idx="19">
                  <c:v>3628.6991612178949</c:v>
                </c:pt>
                <c:pt idx="20">
                  <c:v>3665.1908992303988</c:v>
                </c:pt>
                <c:pt idx="21">
                  <c:v>3702.0713883481226</c:v>
                </c:pt>
                <c:pt idx="22">
                  <c:v>3739.3449795749307</c:v>
                </c:pt>
                <c:pt idx="23">
                  <c:v>3777.0160746256079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2-4F17-9657-22A12CAB1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269304"/>
        <c:axId val="763278664"/>
      </c:lineChart>
      <c:dateAx>
        <c:axId val="763269304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78664"/>
        <c:crosses val="autoZero"/>
        <c:auto val="0"/>
        <c:lblOffset val="100"/>
        <c:baseTimeUnit val="months"/>
        <c:majorUnit val="3"/>
        <c:majorTimeUnit val="months"/>
      </c:dateAx>
      <c:valAx>
        <c:axId val="763278664"/>
        <c:scaling>
          <c:orientation val="minMax"/>
          <c:max val="4000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6930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Closing cash (USD '000)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Data'!$E$1</c:f>
              <c:strCache>
                <c:ptCount val="1"/>
                <c:pt idx="0">
                  <c:v>Closing cash</c:v>
                </c:pt>
              </c:strCache>
            </c:strRef>
          </c:tx>
          <c:spPr>
            <a:ln w="31750" cap="rnd">
              <a:solidFill>
                <a:srgbClr val="2E8B8B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Data'!$A$2:$A$25</c:f>
              <c:numCache>
                <c:formatCode>mmm\ yyyy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'Chart Data'!$E$2:$E$25</c:f>
              <c:numCache>
                <c:formatCode>#,##0.0</c:formatCode>
                <c:ptCount val="24"/>
                <c:pt idx="0">
                  <c:v>1591.7909976833337</c:v>
                </c:pt>
                <c:pt idx="1">
                  <c:v>1901.3913324098005</c:v>
                </c:pt>
                <c:pt idx="2">
                  <c:v>2212.3403645751996</c:v>
                </c:pt>
                <c:pt idx="3">
                  <c:v>2524.601904889133</c:v>
                </c:pt>
                <c:pt idx="4">
                  <c:v>2838.1391935620013</c:v>
                </c:pt>
                <c:pt idx="5">
                  <c:v>3152.9149003050002</c:v>
                </c:pt>
                <c:pt idx="6">
                  <c:v>3468.8911243301345</c:v>
                </c:pt>
                <c:pt idx="7">
                  <c:v>3786.0293943502002</c:v>
                </c:pt>
                <c:pt idx="8">
                  <c:v>4104.2906685788012</c:v>
                </c:pt>
                <c:pt idx="9">
                  <c:v>4403.4111984553338</c:v>
                </c:pt>
                <c:pt idx="10">
                  <c:v>4728.3552281200018</c:v>
                </c:pt>
                <c:pt idx="11">
                  <c:v>5054.2955108388014</c:v>
                </c:pt>
                <c:pt idx="12">
                  <c:v>5440.8497415108804</c:v>
                </c:pt>
                <c:pt idx="13">
                  <c:v>5810.8862046316481</c:v>
                </c:pt>
                <c:pt idx="14">
                  <c:v>6180.2139431373271</c:v>
                </c:pt>
                <c:pt idx="15">
                  <c:v>6548.74564491623</c:v>
                </c:pt>
                <c:pt idx="16">
                  <c:v>6916.3918212949056</c:v>
                </c:pt>
                <c:pt idx="17">
                  <c:v>7283.0607638038136</c:v>
                </c:pt>
                <c:pt idx="18">
                  <c:v>7648.6585001507283</c:v>
                </c:pt>
                <c:pt idx="19">
                  <c:v>8013.0887493878299</c:v>
                </c:pt>
                <c:pt idx="20">
                  <c:v>8376.2528762582242</c:v>
                </c:pt>
                <c:pt idx="21">
                  <c:v>8738.0498447073496</c:v>
                </c:pt>
                <c:pt idx="22">
                  <c:v>9098.3761705444904</c:v>
                </c:pt>
                <c:pt idx="23">
                  <c:v>9457.1258732393926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8-4382-8508-7659F92AD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272544"/>
        <c:axId val="763273624"/>
      </c:lineChart>
      <c:dateAx>
        <c:axId val="763272544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73624"/>
        <c:crosses val="autoZero"/>
        <c:auto val="0"/>
        <c:lblOffset val="100"/>
        <c:baseTimeUnit val="months"/>
        <c:majorUnit val="3"/>
        <c:majorTimeUnit val="months"/>
      </c:dateAx>
      <c:valAx>
        <c:axId val="763273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7254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Data'!$D$1</c:f>
              <c:strCache>
                <c:ptCount val="1"/>
                <c:pt idx="0">
                  <c:v>EBITDA margin</c:v>
                </c:pt>
              </c:strCache>
            </c:strRef>
          </c:tx>
          <c:spPr>
            <a:ln w="31750" cap="rnd">
              <a:solidFill>
                <a:srgbClr val="C97A4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Data'!$A$2:$A$25</c:f>
              <c:numCache>
                <c:formatCode>mmm\ yyyy</c:formatCode>
                <c:ptCount val="24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  <c:pt idx="12">
                  <c:v>46418</c:v>
                </c:pt>
                <c:pt idx="13">
                  <c:v>46446</c:v>
                </c:pt>
                <c:pt idx="14">
                  <c:v>46477</c:v>
                </c:pt>
                <c:pt idx="15">
                  <c:v>46507</c:v>
                </c:pt>
                <c:pt idx="16">
                  <c:v>46538</c:v>
                </c:pt>
                <c:pt idx="17">
                  <c:v>46568</c:v>
                </c:pt>
                <c:pt idx="18">
                  <c:v>46599</c:v>
                </c:pt>
                <c:pt idx="19">
                  <c:v>46630</c:v>
                </c:pt>
                <c:pt idx="20">
                  <c:v>46660</c:v>
                </c:pt>
                <c:pt idx="21">
                  <c:v>46691</c:v>
                </c:pt>
                <c:pt idx="22">
                  <c:v>46721</c:v>
                </c:pt>
                <c:pt idx="23">
                  <c:v>46752</c:v>
                </c:pt>
              </c:numCache>
            </c:numRef>
          </c:cat>
          <c:val>
            <c:numRef>
              <c:f>'Chart Data'!$D$2:$D$25</c:f>
              <c:numCache>
                <c:formatCode>0.0%</c:formatCode>
                <c:ptCount val="24"/>
                <c:pt idx="0">
                  <c:v>0.21601413369516301</c:v>
                </c:pt>
                <c:pt idx="1">
                  <c:v>0.21509680557127051</c:v>
                </c:pt>
                <c:pt idx="2">
                  <c:v>0.2141761666475879</c:v>
                </c:pt>
                <c:pt idx="3">
                  <c:v>0.21325227172454483</c:v>
                </c:pt>
                <c:pt idx="4">
                  <c:v>0.21232517388926861</c:v>
                </c:pt>
                <c:pt idx="5">
                  <c:v>0.21139492459517378</c:v>
                </c:pt>
                <c:pt idx="6">
                  <c:v>0.21046157373687432</c:v>
                </c:pt>
                <c:pt idx="7">
                  <c:v>0.2095251697207387</c:v>
                </c:pt>
                <c:pt idx="8">
                  <c:v>0.20858575953138747</c:v>
                </c:pt>
                <c:pt idx="9">
                  <c:v>0.20833971936876416</c:v>
                </c:pt>
                <c:pt idx="10">
                  <c:v>0.2073855726624971</c:v>
                </c:pt>
                <c:pt idx="11">
                  <c:v>0.20642873719346505</c:v>
                </c:pt>
                <c:pt idx="12">
                  <c:v>0.21405055118986147</c:v>
                </c:pt>
                <c:pt idx="13">
                  <c:v>0.21242117724449269</c:v>
                </c:pt>
                <c:pt idx="14">
                  <c:v>0.21077895619253881</c:v>
                </c:pt>
                <c:pt idx="15">
                  <c:v>0.20912386222924051</c:v>
                </c:pt>
                <c:pt idx="16">
                  <c:v>0.20745586937616739</c:v>
                </c:pt>
                <c:pt idx="17">
                  <c:v>0.20577495148060637</c:v>
                </c:pt>
                <c:pt idx="18">
                  <c:v>0.20408108221494617</c:v>
                </c:pt>
                <c:pt idx="19">
                  <c:v>0.20237423507605762</c:v>
                </c:pt>
                <c:pt idx="20">
                  <c:v>0.20065438338467229</c:v>
                </c:pt>
                <c:pt idx="21">
                  <c:v>0.19892150028475572</c:v>
                </c:pt>
                <c:pt idx="22">
                  <c:v>0.1971755587428797</c:v>
                </c:pt>
                <c:pt idx="23">
                  <c:v>0.19541653154758815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4-48DC-BB9C-2555025B1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281904"/>
        <c:axId val="763282984"/>
      </c:lineChart>
      <c:dateAx>
        <c:axId val="763281904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82984"/>
        <c:crosses val="autoZero"/>
        <c:auto val="0"/>
        <c:lblOffset val="100"/>
        <c:baseTimeUnit val="months"/>
        <c:majorUnit val="3"/>
        <c:majorTimeUnit val="months"/>
      </c:dateAx>
      <c:valAx>
        <c:axId val="763282984"/>
        <c:scaling>
          <c:orientation val="minMax"/>
          <c:max val="0.242688886507341"/>
          <c:min val="0.151814795270013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8190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FY2026 Revenue: Budget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Budget Revenue</c:v>
          </c:tx>
          <c:spPr>
            <a:ln w="28575" cap="rnd">
              <a:solidFill>
                <a:srgbClr val="1F6E8C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'Variance FY2026'!$B$19:$M$19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'Variance FY2026'!$B$20:$M$20</c:f>
              <c:numCache>
                <c:formatCode>#,##0.0</c:formatCode>
                <c:ptCount val="12"/>
                <c:pt idx="0">
                  <c:v>2978.3485150000001</c:v>
                </c:pt>
                <c:pt idx="1">
                  <c:v>3004.1377935000005</c:v>
                </c:pt>
                <c:pt idx="2">
                  <c:v>3029.7140172000004</c:v>
                </c:pt>
                <c:pt idx="3">
                  <c:v>3055.0745449000001</c:v>
                </c:pt>
                <c:pt idx="4">
                  <c:v>3080.2167354000003</c:v>
                </c:pt>
                <c:pt idx="5">
                  <c:v>3105.1379475000003</c:v>
                </c:pt>
                <c:pt idx="6">
                  <c:v>3129.83554</c:v>
                </c:pt>
                <c:pt idx="7">
                  <c:v>3154.3068717000001</c:v>
                </c:pt>
                <c:pt idx="8">
                  <c:v>3178.5493013999999</c:v>
                </c:pt>
                <c:pt idx="9">
                  <c:v>3219.2633254000002</c:v>
                </c:pt>
                <c:pt idx="10">
                  <c:v>3242.9993399999998</c:v>
                </c:pt>
                <c:pt idx="11">
                  <c:v>3266.4980789999995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02-4F01-82D8-8543B81CC38D}"/>
            </c:ext>
          </c:extLst>
        </c:ser>
        <c:ser>
          <c:idx val="1"/>
          <c:order val="1"/>
          <c:tx>
            <c:v>Actual Revenue</c:v>
          </c:tx>
          <c:spPr>
            <a:ln w="28575" cap="rnd">
              <a:solidFill>
                <a:srgbClr val="C97A4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'Variance FY2026'!$B$19:$M$19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'Variance FY2026'!$B$21:$M$21</c:f>
              <c:numCache>
                <c:formatCode>#,##0.0</c:formatCode>
                <c:ptCount val="12"/>
                <c:pt idx="0">
                  <c:v>2891.6005</c:v>
                </c:pt>
                <c:pt idx="1">
                  <c:v>2930.8661400000001</c:v>
                </c:pt>
                <c:pt idx="2">
                  <c:v>2970.3078600000003</c:v>
                </c:pt>
                <c:pt idx="3">
                  <c:v>3009.9256599999999</c:v>
                </c:pt>
                <c:pt idx="4">
                  <c:v>3049.7195400000001</c:v>
                </c:pt>
                <c:pt idx="5">
                  <c:v>3089.6895</c:v>
                </c:pt>
                <c:pt idx="6">
                  <c:v>3129.83554</c:v>
                </c:pt>
                <c:pt idx="7">
                  <c:v>3170.1576600000003</c:v>
                </c:pt>
                <c:pt idx="8">
                  <c:v>3210.6558599999998</c:v>
                </c:pt>
                <c:pt idx="9">
                  <c:v>3268.2876400000005</c:v>
                </c:pt>
                <c:pt idx="10">
                  <c:v>3309.183</c:v>
                </c:pt>
                <c:pt idx="11">
                  <c:v>3350.2544399999997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02-4F01-82D8-8543B81CC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353920"/>
        <c:axId val="832347080"/>
      </c:lineChart>
      <c:dateAx>
        <c:axId val="832353920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347080"/>
        <c:crosses val="autoZero"/>
        <c:auto val="0"/>
        <c:lblOffset val="100"/>
        <c:baseTimeUnit val="months"/>
        <c:majorUnit val="2"/>
        <c:majorTimeUnit val="months"/>
      </c:dateAx>
      <c:valAx>
        <c:axId val="832347080"/>
        <c:scaling>
          <c:orientation val="minMax"/>
          <c:max val="3500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35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FY2026 EBITDA: Budget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Budget EBITDA</c:v>
          </c:tx>
          <c:spPr>
            <a:ln w="28575" cap="rnd">
              <a:solidFill>
                <a:srgbClr val="1F6E8C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'Variance FY2026'!$B$19:$M$19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'Variance FY2026'!$B$23:$M$23</c:f>
              <c:numCache>
                <c:formatCode>#,##0.0</c:formatCode>
                <c:ptCount val="12"/>
                <c:pt idx="0">
                  <c:v>666.05207134000011</c:v>
                </c:pt>
                <c:pt idx="1">
                  <c:v>667.82675291315036</c:v>
                </c:pt>
                <c:pt idx="2">
                  <c:v>669.46931928536014</c:v>
                </c:pt>
                <c:pt idx="3">
                  <c:v>670.97954198622995</c:v>
                </c:pt>
                <c:pt idx="4">
                  <c:v>672.35720416664037</c:v>
                </c:pt>
                <c:pt idx="5">
                  <c:v>673.60210059875044</c:v>
                </c:pt>
                <c:pt idx="6">
                  <c:v>674.71403767599998</c:v>
                </c:pt>
                <c:pt idx="7">
                  <c:v>675.69283341311007</c:v>
                </c:pt>
                <c:pt idx="8">
                  <c:v>676.53831744607999</c:v>
                </c:pt>
                <c:pt idx="9">
                  <c:v>683.0312869209406</c:v>
                </c:pt>
                <c:pt idx="10">
                  <c:v>683.5772723</c:v>
                </c:pt>
                <c:pt idx="11">
                  <c:v>683.98943936809962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6-4F9F-8B98-41E5F02F2BF9}"/>
            </c:ext>
          </c:extLst>
        </c:ser>
        <c:ser>
          <c:idx val="1"/>
          <c:order val="1"/>
          <c:tx>
            <c:v>Actual EBITDA</c:v>
          </c:tx>
          <c:spPr>
            <a:ln w="28575" cap="rnd">
              <a:solidFill>
                <a:srgbClr val="C97A4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'Variance FY2026'!$B$19:$M$19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'Variance FY2026'!$B$24:$M$24</c:f>
              <c:numCache>
                <c:formatCode>#,##0.0</c:formatCode>
                <c:ptCount val="12"/>
                <c:pt idx="0">
                  <c:v>624.62657700000022</c:v>
                </c:pt>
                <c:pt idx="1">
                  <c:v>630.41994427100008</c:v>
                </c:pt>
                <c:pt idx="2">
                  <c:v>636.16915121800025</c:v>
                </c:pt>
                <c:pt idx="3">
                  <c:v>641.87348471699988</c:v>
                </c:pt>
                <c:pt idx="4">
                  <c:v>647.53223164400026</c:v>
                </c:pt>
                <c:pt idx="5">
                  <c:v>653.14467887500018</c:v>
                </c:pt>
                <c:pt idx="6">
                  <c:v>658.71011328599991</c:v>
                </c:pt>
                <c:pt idx="7">
                  <c:v>664.22782175299994</c:v>
                </c:pt>
                <c:pt idx="8">
                  <c:v>669.69709115199998</c:v>
                </c:pt>
                <c:pt idx="9">
                  <c:v>680.91412973400065</c:v>
                </c:pt>
                <c:pt idx="10">
                  <c:v>686.27681150000012</c:v>
                </c:pt>
                <c:pt idx="11">
                  <c:v>691.5887933259994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C6-4F9F-8B98-41E5F02F2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349240"/>
        <c:axId val="832345640"/>
      </c:lineChart>
      <c:dateAx>
        <c:axId val="832349240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345640"/>
        <c:crosses val="autoZero"/>
        <c:auto val="0"/>
        <c:lblOffset val="100"/>
        <c:baseTimeUnit val="months"/>
        <c:majorUnit val="2"/>
        <c:majorTimeUnit val="months"/>
      </c:dateAx>
      <c:valAx>
        <c:axId val="832345640"/>
        <c:scaling>
          <c:orientation val="minMax"/>
          <c:max val="740"/>
          <c:min val="5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34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FY2027 Revenue: Budget vs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Budget Revenue</c:v>
          </c:tx>
          <c:spPr>
            <a:ln w="28575" cap="rnd">
              <a:solidFill>
                <a:srgbClr val="1F6E8C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'Variance FY2027'!$B$26:$M$26</c:f>
              <c:numCache>
                <c:formatCode>mmm</c:formatCode>
                <c:ptCount val="12"/>
                <c:pt idx="0">
                  <c:v>46418</c:v>
                </c:pt>
                <c:pt idx="1">
                  <c:v>46446</c:v>
                </c:pt>
                <c:pt idx="2">
                  <c:v>46477</c:v>
                </c:pt>
                <c:pt idx="3">
                  <c:v>46507</c:v>
                </c:pt>
                <c:pt idx="4">
                  <c:v>46538</c:v>
                </c:pt>
                <c:pt idx="5">
                  <c:v>46568</c:v>
                </c:pt>
                <c:pt idx="6">
                  <c:v>46599</c:v>
                </c:pt>
                <c:pt idx="7">
                  <c:v>46630</c:v>
                </c:pt>
                <c:pt idx="8">
                  <c:v>46660</c:v>
                </c:pt>
                <c:pt idx="9">
                  <c:v>46691</c:v>
                </c:pt>
                <c:pt idx="10">
                  <c:v>46721</c:v>
                </c:pt>
                <c:pt idx="11">
                  <c:v>46752</c:v>
                </c:pt>
              </c:numCache>
            </c:numRef>
          </c:cat>
          <c:val>
            <c:numRef>
              <c:f>'Variance FY2027'!$B$27:$M$27</c:f>
              <c:numCache>
                <c:formatCode>#,##0.0</c:formatCode>
                <c:ptCount val="12"/>
                <c:pt idx="0">
                  <c:v>3485.3005231847001</c:v>
                </c:pt>
                <c:pt idx="1">
                  <c:v>3520.2053419039275</c:v>
                </c:pt>
                <c:pt idx="2">
                  <c:v>3555.4806147769259</c:v>
                </c:pt>
                <c:pt idx="3">
                  <c:v>3591.1304746915662</c:v>
                </c:pt>
                <c:pt idx="4">
                  <c:v>3627.1591025745379</c:v>
                </c:pt>
                <c:pt idx="5">
                  <c:v>3663.5707279685826</c:v>
                </c:pt>
                <c:pt idx="6">
                  <c:v>3700.3696296168432</c:v>
                </c:pt>
                <c:pt idx="7">
                  <c:v>3737.560136054432</c:v>
                </c:pt>
                <c:pt idx="8">
                  <c:v>3775.1466262073109</c:v>
                </c:pt>
                <c:pt idx="9">
                  <c:v>3813.1335299985662</c:v>
                </c:pt>
                <c:pt idx="10">
                  <c:v>3851.5253289621787</c:v>
                </c:pt>
                <c:pt idx="11">
                  <c:v>3890.326556864376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5-44C5-8B64-21A9DBFFD7F4}"/>
            </c:ext>
          </c:extLst>
        </c:ser>
        <c:ser>
          <c:idx val="1"/>
          <c:order val="1"/>
          <c:tx>
            <c:v>Forecast Revenue</c:v>
          </c:tx>
          <c:spPr>
            <a:ln w="28575" cap="rnd">
              <a:solidFill>
                <a:srgbClr val="C97A4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'Variance FY2027'!$B$26:$M$26</c:f>
              <c:numCache>
                <c:formatCode>mmm</c:formatCode>
                <c:ptCount val="12"/>
                <c:pt idx="0">
                  <c:v>46418</c:v>
                </c:pt>
                <c:pt idx="1">
                  <c:v>46446</c:v>
                </c:pt>
                <c:pt idx="2">
                  <c:v>46477</c:v>
                </c:pt>
                <c:pt idx="3">
                  <c:v>46507</c:v>
                </c:pt>
                <c:pt idx="4">
                  <c:v>46538</c:v>
                </c:pt>
                <c:pt idx="5">
                  <c:v>46568</c:v>
                </c:pt>
                <c:pt idx="6">
                  <c:v>46599</c:v>
                </c:pt>
                <c:pt idx="7">
                  <c:v>46630</c:v>
                </c:pt>
                <c:pt idx="8">
                  <c:v>46660</c:v>
                </c:pt>
                <c:pt idx="9">
                  <c:v>46691</c:v>
                </c:pt>
                <c:pt idx="10">
                  <c:v>46721</c:v>
                </c:pt>
                <c:pt idx="11">
                  <c:v>46752</c:v>
                </c:pt>
              </c:numCache>
            </c:numRef>
          </c:cat>
          <c:val>
            <c:numRef>
              <c:f>'Variance FY2027'!$B$28:$M$28</c:f>
              <c:numCache>
                <c:formatCode>#,##0.0</c:formatCode>
                <c:ptCount val="12"/>
                <c:pt idx="0">
                  <c:v>3383.7869157133009</c:v>
                </c:pt>
                <c:pt idx="1">
                  <c:v>3417.6750892271139</c:v>
                </c:pt>
                <c:pt idx="2">
                  <c:v>3451.922926967889</c:v>
                </c:pt>
                <c:pt idx="3">
                  <c:v>3486.5344414481224</c:v>
                </c:pt>
                <c:pt idx="4">
                  <c:v>3521.5136918199396</c:v>
                </c:pt>
                <c:pt idx="5">
                  <c:v>3556.8647844355169</c:v>
                </c:pt>
                <c:pt idx="6">
                  <c:v>3592.5918734144107</c:v>
                </c:pt>
                <c:pt idx="7">
                  <c:v>3628.6991612178949</c:v>
                </c:pt>
                <c:pt idx="8">
                  <c:v>3665.1908992303988</c:v>
                </c:pt>
                <c:pt idx="9">
                  <c:v>3702.0713883481226</c:v>
                </c:pt>
                <c:pt idx="10">
                  <c:v>3739.3449795749307</c:v>
                </c:pt>
                <c:pt idx="11">
                  <c:v>3777.0160746256079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45-44C5-8B64-21A9DBFFD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351760"/>
        <c:axId val="832344560"/>
      </c:lineChart>
      <c:dateAx>
        <c:axId val="832351760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344560"/>
        <c:crosses val="autoZero"/>
        <c:auto val="0"/>
        <c:lblOffset val="100"/>
        <c:baseTimeUnit val="months"/>
        <c:majorUnit val="2"/>
        <c:majorTimeUnit val="months"/>
      </c:dateAx>
      <c:valAx>
        <c:axId val="832344560"/>
        <c:scaling>
          <c:orientation val="minMax"/>
          <c:max val="4000"/>
          <c:min val="3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35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FY2027 EBITDA: Budget vs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Budget EBITDA</c:v>
          </c:tx>
          <c:spPr>
            <a:ln w="28575" cap="rnd">
              <a:solidFill>
                <a:srgbClr val="1F6E8C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'Variance FY2027'!$B$26:$M$26</c:f>
              <c:numCache>
                <c:formatCode>mmm</c:formatCode>
                <c:ptCount val="12"/>
                <c:pt idx="0">
                  <c:v>46418</c:v>
                </c:pt>
                <c:pt idx="1">
                  <c:v>46446</c:v>
                </c:pt>
                <c:pt idx="2">
                  <c:v>46477</c:v>
                </c:pt>
                <c:pt idx="3">
                  <c:v>46507</c:v>
                </c:pt>
                <c:pt idx="4">
                  <c:v>46538</c:v>
                </c:pt>
                <c:pt idx="5">
                  <c:v>46568</c:v>
                </c:pt>
                <c:pt idx="6">
                  <c:v>46599</c:v>
                </c:pt>
                <c:pt idx="7">
                  <c:v>46630</c:v>
                </c:pt>
                <c:pt idx="8">
                  <c:v>46660</c:v>
                </c:pt>
                <c:pt idx="9">
                  <c:v>46691</c:v>
                </c:pt>
                <c:pt idx="10">
                  <c:v>46721</c:v>
                </c:pt>
                <c:pt idx="11">
                  <c:v>46752</c:v>
                </c:pt>
              </c:numCache>
            </c:numRef>
          </c:cat>
          <c:val>
            <c:numRef>
              <c:f>'Variance FY2027'!$B$30:$M$30</c:f>
              <c:numCache>
                <c:formatCode>#,##0.0</c:formatCode>
                <c:ptCount val="12"/>
                <c:pt idx="0">
                  <c:v>757.27292971666395</c:v>
                </c:pt>
                <c:pt idx="1">
                  <c:v>759.05068895847285</c:v>
                </c:pt>
                <c:pt idx="2">
                  <c:v>760.74727666958802</c:v>
                </c:pt>
                <c:pt idx="3">
                  <c:v>762.36028046913316</c:v>
                </c:pt>
                <c:pt idx="4">
                  <c:v>763.88723746736287</c:v>
                </c:pt>
                <c:pt idx="5">
                  <c:v>765.32563331710503</c:v>
                </c:pt>
                <c:pt idx="6">
                  <c:v>766.67290124815531</c:v>
                </c:pt>
                <c:pt idx="7">
                  <c:v>767.92642108434211</c:v>
                </c:pt>
                <c:pt idx="8">
                  <c:v>769.08351824295835</c:v>
                </c:pt>
                <c:pt idx="9">
                  <c:v>770.14146271623633</c:v>
                </c:pt>
                <c:pt idx="10">
                  <c:v>771.09746803456903</c:v>
                </c:pt>
                <c:pt idx="11">
                  <c:v>771.94869021112993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F-4443-A286-C0FCA7B63CC8}"/>
            </c:ext>
          </c:extLst>
        </c:ser>
        <c:ser>
          <c:idx val="1"/>
          <c:order val="1"/>
          <c:tx>
            <c:v>Forecast EBITDA</c:v>
          </c:tx>
          <c:spPr>
            <a:ln w="28575" cap="rnd">
              <a:solidFill>
                <a:srgbClr val="C97A4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'Variance FY2027'!$B$26:$M$26</c:f>
              <c:numCache>
                <c:formatCode>mmm</c:formatCode>
                <c:ptCount val="12"/>
                <c:pt idx="0">
                  <c:v>46418</c:v>
                </c:pt>
                <c:pt idx="1">
                  <c:v>46446</c:v>
                </c:pt>
                <c:pt idx="2">
                  <c:v>46477</c:v>
                </c:pt>
                <c:pt idx="3">
                  <c:v>46507</c:v>
                </c:pt>
                <c:pt idx="4">
                  <c:v>46538</c:v>
                </c:pt>
                <c:pt idx="5">
                  <c:v>46568</c:v>
                </c:pt>
                <c:pt idx="6">
                  <c:v>46599</c:v>
                </c:pt>
                <c:pt idx="7">
                  <c:v>46630</c:v>
                </c:pt>
                <c:pt idx="8">
                  <c:v>46660</c:v>
                </c:pt>
                <c:pt idx="9">
                  <c:v>46691</c:v>
                </c:pt>
                <c:pt idx="10">
                  <c:v>46721</c:v>
                </c:pt>
                <c:pt idx="11">
                  <c:v>46752</c:v>
                </c:pt>
              </c:numCache>
            </c:numRef>
          </c:cat>
          <c:val>
            <c:numRef>
              <c:f>'Variance FY2027'!$B$31:$M$31</c:f>
              <c:numCache>
                <c:formatCode>#,##0.0</c:formatCode>
                <c:ptCount val="12"/>
                <c:pt idx="0">
                  <c:v>724.30145441747334</c:v>
                </c:pt>
                <c:pt idx="1">
                  <c:v>725.98656589280017</c:v>
                </c:pt>
                <c:pt idx="2">
                  <c:v>727.59271140338501</c:v>
                </c:pt>
                <c:pt idx="3">
                  <c:v>729.11754819089913</c:v>
                </c:pt>
                <c:pt idx="4">
                  <c:v>730.55868445658234</c:v>
                </c:pt>
                <c:pt idx="5">
                  <c:v>731.91367844029594</c:v>
                </c:pt>
                <c:pt idx="6">
                  <c:v>733.18003748303386</c:v>
                </c:pt>
                <c:pt idx="7">
                  <c:v>734.35521707260341</c:v>
                </c:pt>
                <c:pt idx="8">
                  <c:v>735.4366198721882</c:v>
                </c:pt>
                <c:pt idx="9">
                  <c:v>736.42159473147706</c:v>
                </c:pt>
                <c:pt idx="10">
                  <c:v>737.30743568006903</c:v>
                </c:pt>
                <c:pt idx="11">
                  <c:v>738.09138090282261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F-4443-A286-C0FCA7B63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0676904"/>
        <c:axId val="830683024"/>
      </c:lineChart>
      <c:dateAx>
        <c:axId val="830676904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83024"/>
        <c:crosses val="autoZero"/>
        <c:auto val="0"/>
        <c:lblOffset val="100"/>
        <c:baseTimeUnit val="months"/>
        <c:majorUnit val="2"/>
        <c:majorTimeUnit val="months"/>
      </c:dateAx>
      <c:valAx>
        <c:axId val="830683024"/>
        <c:scaling>
          <c:orientation val="minMax"/>
          <c:min val="6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76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17</xdr:col>
      <xdr:colOff>0</xdr:colOff>
      <xdr:row>27</xdr:row>
      <xdr:rowOff>0</xdr:rowOff>
    </xdr:to>
    <xdr:graphicFrame macro="">
      <xdr:nvGraphicFramePr>
        <xdr:cNvPr id="2" name="Revenue Trend">
          <a:extLst>
            <a:ext uri="{FF2B5EF4-FFF2-40B4-BE49-F238E27FC236}">
              <a16:creationId xmlns:a16="http://schemas.microsoft.com/office/drawing/2014/main" id="{825EFD50-4461-8BD9-AF89-24C8D0835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9</xdr:col>
      <xdr:colOff>0</xdr:colOff>
      <xdr:row>44</xdr:row>
      <xdr:rowOff>0</xdr:rowOff>
    </xdr:to>
    <xdr:graphicFrame macro="">
      <xdr:nvGraphicFramePr>
        <xdr:cNvPr id="3" name="Cash Outlook">
          <a:extLst>
            <a:ext uri="{FF2B5EF4-FFF2-40B4-BE49-F238E27FC236}">
              <a16:creationId xmlns:a16="http://schemas.microsoft.com/office/drawing/2014/main" id="{EC65CD61-FB19-ECC8-0BCD-3525BA695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17</xdr:col>
      <xdr:colOff>0</xdr:colOff>
      <xdr:row>44</xdr:row>
      <xdr:rowOff>0</xdr:rowOff>
    </xdr:to>
    <xdr:graphicFrame macro="">
      <xdr:nvGraphicFramePr>
        <xdr:cNvPr id="4" name="EBITDA Margin">
          <a:extLst>
            <a:ext uri="{FF2B5EF4-FFF2-40B4-BE49-F238E27FC236}">
              <a16:creationId xmlns:a16="http://schemas.microsoft.com/office/drawing/2014/main" id="{1572658D-824A-9304-289A-0BB23098E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5" name="FY2026 Revenue">
          <a:extLst>
            <a:ext uri="{FF2B5EF4-FFF2-40B4-BE49-F238E27FC236}">
              <a16:creationId xmlns:a16="http://schemas.microsoft.com/office/drawing/2014/main" id="{8D608395-1984-4E32-5228-004AD44B1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6" name="FY2026 EBITDA">
          <a:extLst>
            <a:ext uri="{FF2B5EF4-FFF2-40B4-BE49-F238E27FC236}">
              <a16:creationId xmlns:a16="http://schemas.microsoft.com/office/drawing/2014/main" id="{9CAF7521-B2FC-7857-696A-EF1C0A036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45</xdr:row>
      <xdr:rowOff>0</xdr:rowOff>
    </xdr:to>
    <xdr:graphicFrame macro="">
      <xdr:nvGraphicFramePr>
        <xdr:cNvPr id="7" name="FY2027 Revenue">
          <a:extLst>
            <a:ext uri="{FF2B5EF4-FFF2-40B4-BE49-F238E27FC236}">
              <a16:creationId xmlns:a16="http://schemas.microsoft.com/office/drawing/2014/main" id="{0989EF8D-9B2D-D9B6-DF78-20A1C1417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8" name="FY2027 EBITDA">
          <a:extLst>
            <a:ext uri="{FF2B5EF4-FFF2-40B4-BE49-F238E27FC236}">
              <a16:creationId xmlns:a16="http://schemas.microsoft.com/office/drawing/2014/main" id="{9896FAD8-C07D-8C3C-2C00-E2FDA3286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C422-9558-4A91-B8E9-C4E943418D7B}">
  <dimension ref="B2:Q44"/>
  <sheetViews>
    <sheetView topLeftCell="A7" zoomScale="79" workbookViewId="0">
      <selection activeCell="T33" sqref="T33"/>
    </sheetView>
  </sheetViews>
  <sheetFormatPr defaultRowHeight="15" x14ac:dyDescent="0.25"/>
  <cols>
    <col min="1" max="1" width="3.42578125" customWidth="1"/>
    <col min="2" max="17" width="12.5703125" customWidth="1"/>
  </cols>
  <sheetData>
    <row r="2" spans="2:17" ht="36" customHeight="1" x14ac:dyDescent="0.45">
      <c r="B2" s="51" t="s">
        <v>97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2:17" ht="21.95" customHeight="1" x14ac:dyDescent="0.25">
      <c r="B3" s="52" t="s">
        <v>150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</row>
    <row r="4" spans="2:17" ht="21.95" customHeight="1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21.95" customHeight="1" x14ac:dyDescent="0.25">
      <c r="B5" s="53" t="s">
        <v>98</v>
      </c>
      <c r="C5" s="53"/>
      <c r="D5" s="53"/>
      <c r="E5" s="4"/>
      <c r="F5" s="53" t="s">
        <v>99</v>
      </c>
      <c r="G5" s="53"/>
      <c r="H5" s="53"/>
      <c r="I5" s="4"/>
      <c r="J5" s="53" t="s">
        <v>151</v>
      </c>
      <c r="K5" s="53"/>
      <c r="L5" s="53"/>
      <c r="M5" s="4"/>
      <c r="N5" s="53" t="s">
        <v>152</v>
      </c>
      <c r="O5" s="53"/>
      <c r="P5" s="53"/>
      <c r="Q5" s="53"/>
    </row>
    <row r="6" spans="2:17" ht="26.1" customHeight="1" x14ac:dyDescent="0.25">
      <c r="B6" s="54">
        <v>46387</v>
      </c>
      <c r="C6" s="55"/>
      <c r="D6" s="55"/>
      <c r="E6" s="4"/>
      <c r="F6" s="55" t="inlineStr">
        <is>
          <t xml:space="preserve">Base</t>
        </is>
      </c>
      <c r="G6" s="55"/>
      <c r="H6" s="55"/>
      <c r="I6" s="4"/>
      <c r="J6" s="56">
        <v>42923.21222602325</v>
      </c>
      <c r="K6" s="55"/>
      <c r="L6" s="55"/>
      <c r="M6" s="4"/>
      <c r="N6" s="57">
        <v>0.20465064176203374</v>
      </c>
      <c r="O6" s="55"/>
      <c r="P6" s="55"/>
      <c r="Q6" s="55"/>
    </row>
    <row r="7" spans="2:17" ht="26.1" customHeight="1" x14ac:dyDescent="0.25">
      <c r="B7" s="55"/>
      <c r="C7" s="55"/>
      <c r="D7" s="55"/>
      <c r="E7" s="4"/>
      <c r="F7" s="55"/>
      <c r="G7" s="55"/>
      <c r="H7" s="55"/>
      <c r="I7" s="4"/>
      <c r="J7" s="55"/>
      <c r="K7" s="55"/>
      <c r="L7" s="55"/>
      <c r="M7" s="4"/>
      <c r="N7" s="55"/>
      <c r="O7" s="55"/>
      <c r="P7" s="55"/>
      <c r="Q7" s="55"/>
    </row>
    <row r="8" spans="2:17" ht="21.95" customHeight="1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2:17" ht="27.95" customHeight="1" x14ac:dyDescent="0.25">
      <c r="B9" s="53" t="s">
        <v>153</v>
      </c>
      <c r="C9" s="53"/>
      <c r="D9" s="53"/>
      <c r="E9" s="53"/>
      <c r="F9" s="53" t="s">
        <v>154</v>
      </c>
      <c r="G9" s="53"/>
      <c r="H9" s="53"/>
      <c r="I9" s="53"/>
      <c r="J9" s="58" t="s">
        <v>165</v>
      </c>
      <c r="K9" s="58"/>
      <c r="L9" s="58"/>
      <c r="M9" s="58"/>
      <c r="N9" s="58"/>
      <c r="O9" s="58"/>
      <c r="P9" s="58"/>
      <c r="Q9" s="58"/>
    </row>
    <row r="10" spans="2:17" ht="27.95" customHeight="1" x14ac:dyDescent="0.25">
      <c r="B10" s="56">
        <v>4402.8303624005912</v>
      </c>
      <c r="C10" s="55"/>
      <c r="D10" s="55"/>
      <c r="E10" s="55"/>
      <c r="F10" s="56">
        <v>9457.1258732393926</v>
      </c>
      <c r="G10" s="55"/>
      <c r="H10" s="55"/>
      <c r="I10" s="55"/>
      <c r="J10" s="58"/>
      <c r="K10" s="58"/>
      <c r="L10" s="58"/>
      <c r="M10" s="58"/>
      <c r="N10" s="58"/>
      <c r="O10" s="58"/>
      <c r="P10" s="58"/>
      <c r="Q10" s="58"/>
    </row>
    <row r="11" spans="2:17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2:17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2:17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2:17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2:17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2:17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2:17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2:17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2:17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2:17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2:17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2:17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2:17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2:17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2:17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7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2:17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2:17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2:17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2:17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2:17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2:17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2:17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2:17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2:17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2:17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2:17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2:17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2:17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2:17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2:17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2:17" x14ac:dyDescent="0.2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2:17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2:17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</sheetData>
  <mergeCells count="15">
    <mergeCell ref="B10:E10"/>
    <mergeCell ref="F10:I10"/>
    <mergeCell ref="J9:Q10"/>
    <mergeCell ref="B9:E9"/>
    <mergeCell ref="F9:I9"/>
    <mergeCell ref="B6:D7"/>
    <mergeCell ref="F6:H7"/>
    <mergeCell ref="J6:L7"/>
    <mergeCell ref="N6:Q7"/>
    <mergeCell ref="B2:Q2"/>
    <mergeCell ref="B3:Q3"/>
    <mergeCell ref="B5:D5"/>
    <mergeCell ref="F5:H5"/>
    <mergeCell ref="J5:L5"/>
    <mergeCell ref="N5:Q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AB0A-BF03-41E9-9C6D-B60C80A450F4}">
  <dimension ref="A1:H26"/>
  <sheetViews>
    <sheetView workbookViewId="0">
      <selection activeCell="A26" sqref="A26"/>
    </sheetView>
  </sheetViews>
  <sheetFormatPr defaultRowHeight="15" x14ac:dyDescent="0.25"/>
  <cols>
    <col min="1" max="1" width="36.140625" customWidth="1"/>
    <col min="2" max="2" width="9.5703125" bestFit="1" customWidth="1"/>
    <col min="3" max="3" width="10.140625" bestFit="1" customWidth="1"/>
    <col min="4" max="4" width="16.85546875" bestFit="1" customWidth="1"/>
    <col min="5" max="5" width="13.5703125" bestFit="1" customWidth="1"/>
    <col min="6" max="6" width="12.5703125" bestFit="1" customWidth="1"/>
    <col min="8" max="8" width="40" customWidth="1"/>
  </cols>
  <sheetData>
    <row r="1" spans="1:8" s="12" customFormat="1" ht="32.1" customHeight="1" x14ac:dyDescent="0.35">
      <c r="A1" s="11" t="s">
        <v>0</v>
      </c>
      <c r="B1" s="11"/>
      <c r="C1" s="11"/>
      <c r="D1" s="11"/>
      <c r="E1" s="11"/>
      <c r="F1" s="11"/>
      <c r="G1" s="11"/>
      <c r="H1" s="11"/>
    </row>
    <row r="2" spans="1:8" ht="18" customHeight="1" x14ac:dyDescent="0.25">
      <c r="A2" s="5"/>
      <c r="B2" s="5"/>
      <c r="C2" s="5"/>
      <c r="D2" s="5"/>
      <c r="E2" s="5"/>
      <c r="F2" s="5"/>
      <c r="G2" s="5"/>
      <c r="H2" s="5"/>
    </row>
    <row r="3" spans="1:8" ht="18" customHeight="1" x14ac:dyDescent="0.25">
      <c r="A3" s="16" t="s">
        <v>1</v>
      </c>
      <c r="B3" s="14">
        <v>46387</v>
      </c>
      <c r="C3" s="5"/>
      <c r="D3" s="5"/>
      <c r="E3" s="5"/>
      <c r="F3" s="5"/>
      <c r="G3" s="5"/>
      <c r="H3" s="5"/>
    </row>
    <row r="4" spans="1:8" ht="18" customHeight="1" x14ac:dyDescent="0.25">
      <c r="A4" s="16" t="s">
        <v>2</v>
      </c>
      <c r="B4" s="15" t="s">
        <v>3</v>
      </c>
      <c r="C4" s="5"/>
      <c r="D4" s="5"/>
      <c r="E4" s="5"/>
      <c r="F4" s="5"/>
      <c r="G4" s="5"/>
      <c r="H4" s="5"/>
    </row>
    <row r="5" spans="1:8" ht="18" customHeight="1" x14ac:dyDescent="0.25">
      <c r="A5" s="16" t="s">
        <v>4</v>
      </c>
      <c r="B5" s="15">
        <v>1250</v>
      </c>
      <c r="C5" s="5"/>
      <c r="D5" s="5"/>
      <c r="E5" s="5"/>
      <c r="F5" s="5"/>
      <c r="G5" s="5"/>
      <c r="H5" s="5"/>
    </row>
    <row r="6" spans="1:8" ht="18" customHeight="1" x14ac:dyDescent="0.25">
      <c r="A6" s="16" t="s">
        <v>5</v>
      </c>
      <c r="B6" s="15">
        <v>4200</v>
      </c>
      <c r="C6" s="5"/>
      <c r="D6" s="5"/>
      <c r="E6" s="5"/>
      <c r="F6" s="5"/>
      <c r="G6" s="5"/>
      <c r="H6" s="5"/>
    </row>
    <row r="7" spans="1:8" ht="18" customHeight="1" x14ac:dyDescent="0.25">
      <c r="A7" s="13" t="s">
        <v>6</v>
      </c>
      <c r="B7" s="13" t="s">
        <v>3</v>
      </c>
      <c r="C7" s="13" t="s">
        <v>7</v>
      </c>
      <c r="D7" s="13" t="s">
        <v>8</v>
      </c>
      <c r="E7" s="5"/>
      <c r="F7" s="5"/>
      <c r="G7" s="5"/>
      <c r="H7" s="5"/>
    </row>
    <row r="8" spans="1:8" ht="18" customHeight="1" x14ac:dyDescent="0.25">
      <c r="A8" s="17" t="s">
        <v>9</v>
      </c>
      <c r="B8" s="17">
        <v>1</v>
      </c>
      <c r="C8" s="17">
        <v>1.25</v>
      </c>
      <c r="D8" s="17">
        <v>0.7</v>
      </c>
      <c r="E8" s="5"/>
      <c r="F8" s="5"/>
      <c r="G8" s="5"/>
      <c r="H8" s="5"/>
    </row>
    <row r="9" spans="1:8" ht="18" customHeight="1" x14ac:dyDescent="0.25">
      <c r="A9" s="17" t="s">
        <v>10</v>
      </c>
      <c r="B9" s="17">
        <v>1</v>
      </c>
      <c r="C9" s="17">
        <v>1.1499999999999999</v>
      </c>
      <c r="D9" s="17">
        <v>0.75</v>
      </c>
      <c r="E9" s="5"/>
      <c r="F9" s="5"/>
      <c r="G9" s="5"/>
      <c r="H9" s="5"/>
    </row>
    <row r="10" spans="1:8" ht="18" customHeight="1" x14ac:dyDescent="0.25">
      <c r="A10" s="17" t="s">
        <v>11</v>
      </c>
      <c r="B10" s="18">
        <v>0.05</v>
      </c>
      <c r="C10" s="18">
        <v>0.02</v>
      </c>
      <c r="D10" s="18">
        <v>0.09</v>
      </c>
      <c r="E10" s="5"/>
      <c r="F10" s="5"/>
      <c r="G10" s="5"/>
      <c r="H10" s="5"/>
    </row>
    <row r="11" spans="1:8" ht="18" customHeight="1" x14ac:dyDescent="0.25">
      <c r="A11" s="17" t="s">
        <v>12</v>
      </c>
      <c r="B11" s="18">
        <v>0.06</v>
      </c>
      <c r="C11" s="18">
        <v>7.0000000000000007E-2</v>
      </c>
      <c r="D11" s="18">
        <v>5.5E-2</v>
      </c>
      <c r="E11" s="5"/>
      <c r="F11" s="5"/>
      <c r="G11" s="5"/>
      <c r="H11" s="5"/>
    </row>
    <row r="12" spans="1:8" ht="18" customHeight="1" x14ac:dyDescent="0.25">
      <c r="A12" s="17" t="s">
        <v>13</v>
      </c>
      <c r="B12" s="18">
        <v>0.06</v>
      </c>
      <c r="C12" s="18">
        <v>0.08</v>
      </c>
      <c r="D12" s="18">
        <v>0.04</v>
      </c>
      <c r="E12" s="5"/>
      <c r="F12" s="5"/>
      <c r="G12" s="5"/>
      <c r="H12" s="5"/>
    </row>
    <row r="13" spans="1:8" ht="18" customHeight="1" x14ac:dyDescent="0.25">
      <c r="A13" s="17" t="s">
        <v>14</v>
      </c>
      <c r="B13" s="18">
        <v>0.04</v>
      </c>
      <c r="C13" s="18">
        <v>0.05</v>
      </c>
      <c r="D13" s="18">
        <v>0.03</v>
      </c>
      <c r="E13" s="5"/>
      <c r="F13" s="5"/>
      <c r="G13" s="5"/>
      <c r="H13" s="5"/>
    </row>
    <row r="14" spans="1:8" ht="18" customHeight="1" x14ac:dyDescent="0.25">
      <c r="A14" s="17" t="s">
        <v>15</v>
      </c>
      <c r="B14" s="17">
        <v>35</v>
      </c>
      <c r="C14" s="17">
        <v>32</v>
      </c>
      <c r="D14" s="17">
        <v>42</v>
      </c>
      <c r="E14" s="5"/>
      <c r="F14" s="5"/>
      <c r="G14" s="5"/>
      <c r="H14" s="5"/>
    </row>
    <row r="15" spans="1:8" ht="18" customHeight="1" x14ac:dyDescent="0.25">
      <c r="A15" s="17" t="s">
        <v>16</v>
      </c>
      <c r="B15" s="17">
        <v>45</v>
      </c>
      <c r="C15" s="17">
        <v>40</v>
      </c>
      <c r="D15" s="17">
        <v>55</v>
      </c>
      <c r="E15" s="5"/>
      <c r="F15" s="5"/>
      <c r="G15" s="5"/>
      <c r="H15" s="5"/>
    </row>
    <row r="16" spans="1:8" ht="18" customHeight="1" x14ac:dyDescent="0.25">
      <c r="A16" s="17" t="s">
        <v>17</v>
      </c>
      <c r="B16" s="17">
        <v>30</v>
      </c>
      <c r="C16" s="17">
        <v>35</v>
      </c>
      <c r="D16" s="17">
        <v>25</v>
      </c>
      <c r="E16" s="5"/>
      <c r="F16" s="5"/>
      <c r="G16" s="5"/>
      <c r="H16" s="5"/>
    </row>
    <row r="17" spans="1:8" ht="18" customHeight="1" x14ac:dyDescent="0.25">
      <c r="A17" s="17" t="s">
        <v>18</v>
      </c>
      <c r="B17" s="18">
        <v>0.04</v>
      </c>
      <c r="C17" s="18">
        <v>4.4999999999999998E-2</v>
      </c>
      <c r="D17" s="18">
        <v>3.5000000000000003E-2</v>
      </c>
      <c r="E17" s="5"/>
      <c r="F17" s="5"/>
      <c r="G17" s="5"/>
      <c r="H17" s="5"/>
    </row>
    <row r="18" spans="1:8" ht="18" customHeight="1" x14ac:dyDescent="0.25">
      <c r="A18" s="19" t="s">
        <v>19</v>
      </c>
      <c r="B18" s="20">
        <v>0.2</v>
      </c>
      <c r="C18" s="20">
        <v>0.2</v>
      </c>
      <c r="D18" s="20">
        <v>0.2</v>
      </c>
      <c r="E18" s="5"/>
      <c r="F18" s="5"/>
      <c r="G18" s="5"/>
      <c r="H18" s="5"/>
    </row>
    <row r="19" spans="1:8" ht="18" customHeight="1" x14ac:dyDescent="0.25">
      <c r="A19" s="5"/>
      <c r="B19" s="5"/>
      <c r="C19" s="5"/>
      <c r="D19" s="5"/>
      <c r="E19" s="5"/>
      <c r="F19" s="5"/>
      <c r="G19" s="5"/>
      <c r="H19" s="5"/>
    </row>
    <row r="20" spans="1:8" ht="18" customHeight="1" x14ac:dyDescent="0.25">
      <c r="A20" s="5"/>
      <c r="B20" s="5"/>
      <c r="C20" s="5"/>
      <c r="D20" s="5"/>
      <c r="E20" s="5"/>
      <c r="F20" s="5"/>
      <c r="G20" s="5"/>
      <c r="H20" s="5"/>
    </row>
    <row r="21" spans="1:8" ht="18" customHeight="1" x14ac:dyDescent="0.25">
      <c r="A21" s="13" t="s">
        <v>20</v>
      </c>
      <c r="B21" s="13" t="s">
        <v>21</v>
      </c>
      <c r="C21" s="13" t="s">
        <v>22</v>
      </c>
      <c r="D21" s="13" t="s">
        <v>23</v>
      </c>
      <c r="E21" s="13" t="s">
        <v>24</v>
      </c>
      <c r="F21" s="13" t="s">
        <v>25</v>
      </c>
      <c r="G21" s="13" t="s">
        <v>26</v>
      </c>
      <c r="H21" s="13" t="s">
        <v>27</v>
      </c>
    </row>
    <row r="22" spans="1:8" x14ac:dyDescent="0.25">
      <c r="A22" s="5" t="s">
        <v>28</v>
      </c>
      <c r="B22" s="5" t="s">
        <v>29</v>
      </c>
      <c r="C22" s="5">
        <v>44.8</v>
      </c>
      <c r="D22" s="5">
        <v>31800</v>
      </c>
      <c r="E22" s="6">
        <v>8.0000000000000002E-3</v>
      </c>
      <c r="F22" s="6">
        <v>0.04</v>
      </c>
      <c r="G22" s="6">
        <v>0.57999999999999996</v>
      </c>
      <c r="H22" s="49" t="s">
        <v>30</v>
      </c>
    </row>
    <row r="23" spans="1:8" x14ac:dyDescent="0.25">
      <c r="A23" s="5" t="s">
        <v>31</v>
      </c>
      <c r="B23" s="5" t="s">
        <v>32</v>
      </c>
      <c r="C23" s="5">
        <v>4.7</v>
      </c>
      <c r="D23" s="5">
        <v>212000</v>
      </c>
      <c r="E23" s="6">
        <v>5.0000000000000001E-3</v>
      </c>
      <c r="F23" s="6">
        <v>0.03</v>
      </c>
      <c r="G23" s="6">
        <v>0.62</v>
      </c>
      <c r="H23" s="49" t="s">
        <v>33</v>
      </c>
    </row>
    <row r="24" spans="1:8" x14ac:dyDescent="0.25">
      <c r="A24" s="5" t="s">
        <v>34</v>
      </c>
      <c r="B24" s="5" t="s">
        <v>35</v>
      </c>
      <c r="C24" s="5">
        <v>32.200000000000003</v>
      </c>
      <c r="D24" s="5">
        <v>9400</v>
      </c>
      <c r="E24" s="6">
        <v>1.0999999999999999E-2</v>
      </c>
      <c r="F24" s="6">
        <v>0.04</v>
      </c>
      <c r="G24" s="6">
        <v>0.55000000000000004</v>
      </c>
      <c r="H24" s="49" t="s">
        <v>36</v>
      </c>
    </row>
    <row r="25" spans="1:8" x14ac:dyDescent="0.25">
      <c r="A25" s="5" t="s">
        <v>37</v>
      </c>
      <c r="B25" s="5" t="s">
        <v>38</v>
      </c>
      <c r="C25" s="5">
        <v>9.5</v>
      </c>
      <c r="D25" s="5">
        <v>27600</v>
      </c>
      <c r="E25" s="6">
        <v>4.0000000000000001E-3</v>
      </c>
      <c r="F25" s="6">
        <v>0.03</v>
      </c>
      <c r="G25" s="6">
        <v>0.6</v>
      </c>
      <c r="H25" s="49" t="s">
        <v>39</v>
      </c>
    </row>
    <row r="26" spans="1:8" x14ac:dyDescent="0.25">
      <c r="A26" s="5" t="s">
        <v>40</v>
      </c>
      <c r="B26" s="5"/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49" t="s">
        <v>41</v>
      </c>
    </row>
  </sheetData>
  <mergeCells count="1">
    <mergeCell ref="A1:H1"/>
  </mergeCells>
  <dataValidations count="1">
    <dataValidation type="list" allowBlank="1" showInputMessage="1" showErrorMessage="1" sqref="B4" xr:uid="{6E59808E-B85A-4EC7-B415-E9A4946D3A01}">
      <formula1>"Base,Upside,Downside"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E815-43FD-4034-861C-4C4B8394D9FF}">
  <dimension ref="A1:P28"/>
  <sheetViews>
    <sheetView workbookViewId="0">
      <pane ySplit="4" topLeftCell="A5" activePane="bottomLeft" state="frozen"/>
      <selection pane="bottomLeft" activeCell="B11" sqref="B11"/>
    </sheetView>
  </sheetViews>
  <sheetFormatPr defaultRowHeight="15" x14ac:dyDescent="0.25"/>
  <cols>
    <col min="1" max="2" width="14.85546875" customWidth="1"/>
    <col min="3" max="3" width="7" bestFit="1" customWidth="1"/>
    <col min="4" max="4" width="8.28515625" bestFit="1" customWidth="1"/>
    <col min="5" max="5" width="7" bestFit="1" customWidth="1"/>
    <col min="6" max="6" width="8.28515625" bestFit="1" customWidth="1"/>
    <col min="7" max="7" width="7" bestFit="1" customWidth="1"/>
    <col min="8" max="8" width="8.28515625" bestFit="1" customWidth="1"/>
    <col min="9" max="9" width="7" bestFit="1" customWidth="1"/>
    <col min="10" max="10" width="8.28515625" bestFit="1" customWidth="1"/>
    <col min="11" max="11" width="7.140625" bestFit="1" customWidth="1"/>
    <col min="12" max="12" width="6.85546875" bestFit="1" customWidth="1"/>
    <col min="13" max="13" width="8.5703125" bestFit="1" customWidth="1"/>
    <col min="14" max="14" width="5.5703125" bestFit="1" customWidth="1"/>
    <col min="15" max="15" width="4.7109375" bestFit="1" customWidth="1"/>
    <col min="16" max="16" width="6.28515625" bestFit="1" customWidth="1"/>
  </cols>
  <sheetData>
    <row r="1" spans="1:16" s="12" customFormat="1" ht="32.1" customHeight="1" x14ac:dyDescent="0.35">
      <c r="A1" s="11" t="s">
        <v>42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8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8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33.950000000000003" customHeight="1" x14ac:dyDescent="0.25">
      <c r="A4" s="21" t="s">
        <v>43</v>
      </c>
      <c r="B4" s="21" t="s">
        <v>44</v>
      </c>
      <c r="C4" s="21" t="s">
        <v>45</v>
      </c>
      <c r="D4" s="21" t="s">
        <v>46</v>
      </c>
      <c r="E4" s="21" t="s">
        <v>47</v>
      </c>
      <c r="F4" s="21" t="s">
        <v>48</v>
      </c>
      <c r="G4" s="21" t="s">
        <v>49</v>
      </c>
      <c r="H4" s="21" t="s">
        <v>50</v>
      </c>
      <c r="I4" s="21" t="s">
        <v>51</v>
      </c>
      <c r="J4" s="21" t="s">
        <v>52</v>
      </c>
      <c r="K4" s="21" t="s">
        <v>53</v>
      </c>
      <c r="L4" s="21" t="s">
        <v>54</v>
      </c>
      <c r="M4" s="21" t="s">
        <v>55</v>
      </c>
      <c r="N4" s="21" t="s">
        <v>56</v>
      </c>
      <c r="O4" s="21" t="s">
        <v>57</v>
      </c>
      <c r="P4" s="21" t="s">
        <v>58</v>
      </c>
    </row>
    <row r="5" spans="1:16" ht="18" customHeight="1" x14ac:dyDescent="0.25">
      <c r="A5" s="22">
        <v>46053</v>
      </c>
      <c r="B5" s="32" t="s">
        <v>59</v>
      </c>
      <c r="C5" s="23">
        <v>43.75</v>
      </c>
      <c r="D5" s="24">
        <v>31550</v>
      </c>
      <c r="E5" s="25">
        <v>4.58</v>
      </c>
      <c r="F5" s="24">
        <v>211000</v>
      </c>
      <c r="G5" s="23">
        <v>31</v>
      </c>
      <c r="H5" s="24">
        <v>9340</v>
      </c>
      <c r="I5" s="25">
        <v>9.32</v>
      </c>
      <c r="J5" s="24">
        <v>27400</v>
      </c>
      <c r="K5" s="26">
        <v>1703.1526944999998</v>
      </c>
      <c r="L5" s="26">
        <v>245</v>
      </c>
      <c r="M5" s="26">
        <v>164.82122850000002</v>
      </c>
      <c r="N5" s="26">
        <v>154</v>
      </c>
      <c r="O5" s="26">
        <v>76</v>
      </c>
      <c r="P5" s="26">
        <v>112</v>
      </c>
    </row>
    <row r="6" spans="1:16" ht="18" customHeight="1" x14ac:dyDescent="0.25">
      <c r="A6" s="22">
        <v>46081</v>
      </c>
      <c r="B6" s="32" t="s">
        <v>59</v>
      </c>
      <c r="C6" s="23">
        <v>44.23</v>
      </c>
      <c r="D6" s="24">
        <v>31650</v>
      </c>
      <c r="E6" s="25">
        <v>4.625</v>
      </c>
      <c r="F6" s="24">
        <v>211400</v>
      </c>
      <c r="G6" s="23">
        <v>31.52</v>
      </c>
      <c r="H6" s="24">
        <v>9372</v>
      </c>
      <c r="I6" s="25">
        <v>9.3800000000000008</v>
      </c>
      <c r="J6" s="24">
        <v>27490</v>
      </c>
      <c r="K6" s="26">
        <v>1729.504109214</v>
      </c>
      <c r="L6" s="26">
        <v>247.8</v>
      </c>
      <c r="M6" s="26">
        <v>167.79208651500002</v>
      </c>
      <c r="N6" s="26">
        <v>155.35</v>
      </c>
      <c r="O6" s="26">
        <v>76.75</v>
      </c>
      <c r="P6" s="26">
        <v>115.1</v>
      </c>
    </row>
    <row r="7" spans="1:16" ht="18" customHeight="1" x14ac:dyDescent="0.25">
      <c r="A7" s="22">
        <v>46112</v>
      </c>
      <c r="B7" s="32" t="s">
        <v>59</v>
      </c>
      <c r="C7" s="23">
        <v>44.71</v>
      </c>
      <c r="D7" s="24">
        <v>31750</v>
      </c>
      <c r="E7" s="25">
        <v>4.67</v>
      </c>
      <c r="F7" s="24">
        <v>211800</v>
      </c>
      <c r="G7" s="23">
        <v>32.04</v>
      </c>
      <c r="H7" s="24">
        <v>9404</v>
      </c>
      <c r="I7" s="25">
        <v>9.44</v>
      </c>
      <c r="J7" s="24">
        <v>27580</v>
      </c>
      <c r="K7" s="26">
        <v>1756.0460068320001</v>
      </c>
      <c r="L7" s="26">
        <v>250.6</v>
      </c>
      <c r="M7" s="26">
        <v>170.79270195000004</v>
      </c>
      <c r="N7" s="26">
        <v>156.69999999999999</v>
      </c>
      <c r="O7" s="26">
        <v>77.5</v>
      </c>
      <c r="P7" s="26">
        <v>118.2</v>
      </c>
    </row>
    <row r="8" spans="1:16" ht="18" customHeight="1" x14ac:dyDescent="0.25">
      <c r="A8" s="22">
        <v>46142</v>
      </c>
      <c r="B8" s="32" t="s">
        <v>59</v>
      </c>
      <c r="C8" s="23">
        <v>45.19</v>
      </c>
      <c r="D8" s="24">
        <v>31850</v>
      </c>
      <c r="E8" s="25">
        <v>4.7149999999999999</v>
      </c>
      <c r="F8" s="24">
        <v>212200</v>
      </c>
      <c r="G8" s="23">
        <v>32.56</v>
      </c>
      <c r="H8" s="24">
        <v>9436</v>
      </c>
      <c r="I8" s="25">
        <v>9.5</v>
      </c>
      <c r="J8" s="24">
        <v>27670</v>
      </c>
      <c r="K8" s="26">
        <v>1782.778968418</v>
      </c>
      <c r="L8" s="26">
        <v>253.4</v>
      </c>
      <c r="M8" s="26">
        <v>173.82320686500003</v>
      </c>
      <c r="N8" s="26">
        <v>158.05000000000001</v>
      </c>
      <c r="O8" s="26">
        <v>78.25</v>
      </c>
      <c r="P8" s="26">
        <v>121.3</v>
      </c>
    </row>
    <row r="9" spans="1:16" ht="18" customHeight="1" x14ac:dyDescent="0.25">
      <c r="A9" s="22">
        <v>46173</v>
      </c>
      <c r="B9" s="32" t="s">
        <v>59</v>
      </c>
      <c r="C9" s="23">
        <v>45.67</v>
      </c>
      <c r="D9" s="24">
        <v>31950</v>
      </c>
      <c r="E9" s="25">
        <v>4.76</v>
      </c>
      <c r="F9" s="24">
        <v>212600</v>
      </c>
      <c r="G9" s="23">
        <v>33.08</v>
      </c>
      <c r="H9" s="24">
        <v>9468</v>
      </c>
      <c r="I9" s="25">
        <v>9.56</v>
      </c>
      <c r="J9" s="24">
        <v>27760</v>
      </c>
      <c r="K9" s="26">
        <v>1809.7035750359998</v>
      </c>
      <c r="L9" s="26">
        <v>256.2</v>
      </c>
      <c r="M9" s="26">
        <v>176.88373332</v>
      </c>
      <c r="N9" s="26">
        <v>159.4</v>
      </c>
      <c r="O9" s="26">
        <v>79</v>
      </c>
      <c r="P9" s="26">
        <v>124.4</v>
      </c>
    </row>
    <row r="10" spans="1:16" ht="18" customHeight="1" x14ac:dyDescent="0.25">
      <c r="A10" s="22">
        <v>46203</v>
      </c>
      <c r="B10" s="32" t="s">
        <v>59</v>
      </c>
      <c r="C10" s="23">
        <v>46.15</v>
      </c>
      <c r="D10" s="24">
        <v>32050</v>
      </c>
      <c r="E10" s="25">
        <v>4.8049999999999997</v>
      </c>
      <c r="F10" s="24">
        <v>213000</v>
      </c>
      <c r="G10" s="23">
        <v>33.6</v>
      </c>
      <c r="H10" s="24">
        <v>9500</v>
      </c>
      <c r="I10" s="25">
        <v>9.620000000000001</v>
      </c>
      <c r="J10" s="24">
        <v>27850</v>
      </c>
      <c r="K10" s="26">
        <v>1836.8204077499997</v>
      </c>
      <c r="L10" s="26">
        <v>259</v>
      </c>
      <c r="M10" s="26">
        <v>179.97441337500001</v>
      </c>
      <c r="N10" s="26">
        <v>160.75</v>
      </c>
      <c r="O10" s="26">
        <v>79.75</v>
      </c>
      <c r="P10" s="26">
        <v>127.5</v>
      </c>
    </row>
    <row r="11" spans="1:16" ht="18" customHeight="1" x14ac:dyDescent="0.25">
      <c r="A11" s="27">
        <v>46234</v>
      </c>
      <c r="B11" s="33" t="s">
        <v>59</v>
      </c>
      <c r="C11" s="28">
        <v>46.63</v>
      </c>
      <c r="D11" s="29">
        <v>32150</v>
      </c>
      <c r="E11" s="30">
        <v>4.8499999999999996</v>
      </c>
      <c r="F11" s="29">
        <v>213400</v>
      </c>
      <c r="G11" s="28">
        <v>34.119999999999997</v>
      </c>
      <c r="H11" s="29">
        <v>9532</v>
      </c>
      <c r="I11" s="30">
        <v>9.68</v>
      </c>
      <c r="J11" s="29">
        <v>27940</v>
      </c>
      <c r="K11" s="31">
        <v>1864.1300476240001</v>
      </c>
      <c r="L11" s="31">
        <v>261.8</v>
      </c>
      <c r="M11" s="31">
        <v>183.09537909000002</v>
      </c>
      <c r="N11" s="31">
        <v>162.1</v>
      </c>
      <c r="O11" s="31">
        <v>80.5</v>
      </c>
      <c r="P11" s="31">
        <v>130.6</v>
      </c>
    </row>
    <row r="12" spans="1:16" ht="18" customHeight="1" x14ac:dyDescent="0.25">
      <c r="A12" s="27">
        <v>46265</v>
      </c>
      <c r="B12" s="33" t="s">
        <v>59</v>
      </c>
      <c r="C12" s="28">
        <v>47.11</v>
      </c>
      <c r="D12" s="29">
        <v>32250</v>
      </c>
      <c r="E12" s="30">
        <v>4.8950000000000005</v>
      </c>
      <c r="F12" s="29">
        <v>213800</v>
      </c>
      <c r="G12" s="28">
        <v>34.64</v>
      </c>
      <c r="H12" s="29">
        <v>9564</v>
      </c>
      <c r="I12" s="30">
        <v>9.74</v>
      </c>
      <c r="J12" s="29">
        <v>28030</v>
      </c>
      <c r="K12" s="31">
        <v>1891.6330757220003</v>
      </c>
      <c r="L12" s="31">
        <v>264.60000000000002</v>
      </c>
      <c r="M12" s="31">
        <v>186.24676252500004</v>
      </c>
      <c r="N12" s="31">
        <v>163.44999999999999</v>
      </c>
      <c r="O12" s="31">
        <v>81.25</v>
      </c>
      <c r="P12" s="31">
        <v>133.69999999999999</v>
      </c>
    </row>
    <row r="13" spans="1:16" ht="18" customHeight="1" x14ac:dyDescent="0.25">
      <c r="A13" s="27">
        <v>46295</v>
      </c>
      <c r="B13" s="33" t="s">
        <v>59</v>
      </c>
      <c r="C13" s="28">
        <v>47.59</v>
      </c>
      <c r="D13" s="29">
        <v>32350</v>
      </c>
      <c r="E13" s="30">
        <v>4.9400000000000004</v>
      </c>
      <c r="F13" s="29">
        <v>214200</v>
      </c>
      <c r="G13" s="28">
        <v>35.159999999999997</v>
      </c>
      <c r="H13" s="29">
        <v>9596</v>
      </c>
      <c r="I13" s="30">
        <v>9.8000000000000007</v>
      </c>
      <c r="J13" s="29">
        <v>28120</v>
      </c>
      <c r="K13" s="31">
        <v>1919.3300731079999</v>
      </c>
      <c r="L13" s="31">
        <v>267.39999999999998</v>
      </c>
      <c r="M13" s="31">
        <v>189.42869573999999</v>
      </c>
      <c r="N13" s="31">
        <v>164.8</v>
      </c>
      <c r="O13" s="31">
        <v>82</v>
      </c>
      <c r="P13" s="31">
        <v>136.80000000000001</v>
      </c>
    </row>
    <row r="14" spans="1:16" ht="18" customHeight="1" x14ac:dyDescent="0.25">
      <c r="A14" s="27">
        <v>46326</v>
      </c>
      <c r="B14" s="33" t="s">
        <v>59</v>
      </c>
      <c r="C14" s="28">
        <v>48.32</v>
      </c>
      <c r="D14" s="29">
        <v>32450</v>
      </c>
      <c r="E14" s="30">
        <v>5.0150000000000006</v>
      </c>
      <c r="F14" s="29">
        <v>214600</v>
      </c>
      <c r="G14" s="28">
        <v>35.93</v>
      </c>
      <c r="H14" s="29">
        <v>9628</v>
      </c>
      <c r="I14" s="30">
        <v>9.86</v>
      </c>
      <c r="J14" s="29">
        <v>28210</v>
      </c>
      <c r="K14" s="31">
        <v>1957.3774675959999</v>
      </c>
      <c r="L14" s="31">
        <v>270.2</v>
      </c>
      <c r="M14" s="31">
        <v>193.64604267000001</v>
      </c>
      <c r="N14" s="31">
        <v>166.15</v>
      </c>
      <c r="O14" s="31">
        <v>82.75</v>
      </c>
      <c r="P14" s="31">
        <v>139.9</v>
      </c>
    </row>
    <row r="15" spans="1:16" ht="18" customHeight="1" x14ac:dyDescent="0.25">
      <c r="A15" s="27">
        <v>46356</v>
      </c>
      <c r="B15" s="33" t="s">
        <v>59</v>
      </c>
      <c r="C15" s="28">
        <v>48.8</v>
      </c>
      <c r="D15" s="29">
        <v>32550</v>
      </c>
      <c r="E15" s="30">
        <v>5.0600000000000005</v>
      </c>
      <c r="F15" s="29">
        <v>215000</v>
      </c>
      <c r="G15" s="28">
        <v>36.450000000000003</v>
      </c>
      <c r="H15" s="29">
        <v>9660</v>
      </c>
      <c r="I15" s="30">
        <v>9.92</v>
      </c>
      <c r="J15" s="29">
        <v>28300</v>
      </c>
      <c r="K15" s="31">
        <v>1985.5097999999998</v>
      </c>
      <c r="L15" s="31">
        <v>273</v>
      </c>
      <c r="M15" s="31">
        <v>196.8963885</v>
      </c>
      <c r="N15" s="31">
        <v>167.5</v>
      </c>
      <c r="O15" s="31">
        <v>83.5</v>
      </c>
      <c r="P15" s="31">
        <v>143</v>
      </c>
    </row>
    <row r="16" spans="1:16" ht="18" customHeight="1" x14ac:dyDescent="0.25">
      <c r="A16" s="27">
        <v>46387</v>
      </c>
      <c r="B16" s="33" t="s">
        <v>59</v>
      </c>
      <c r="C16" s="28">
        <v>49.28</v>
      </c>
      <c r="D16" s="29">
        <v>32650</v>
      </c>
      <c r="E16" s="30">
        <v>5.1050000000000004</v>
      </c>
      <c r="F16" s="29">
        <v>215400</v>
      </c>
      <c r="G16" s="28">
        <v>36.97</v>
      </c>
      <c r="H16" s="29">
        <v>9692</v>
      </c>
      <c r="I16" s="30">
        <v>9.98</v>
      </c>
      <c r="J16" s="29">
        <v>28390</v>
      </c>
      <c r="K16" s="31">
        <v>2013.8379438840002</v>
      </c>
      <c r="L16" s="31">
        <v>275.8</v>
      </c>
      <c r="M16" s="31">
        <v>200.17770279000004</v>
      </c>
      <c r="N16" s="31">
        <v>168.85</v>
      </c>
      <c r="O16" s="31">
        <v>84.25</v>
      </c>
      <c r="P16" s="31">
        <v>146.1</v>
      </c>
    </row>
    <row r="17" spans="1:16" ht="18" customHeight="1" x14ac:dyDescent="0.25">
      <c r="A17" s="27">
        <v>46418</v>
      </c>
      <c r="B17" s="33" t="s">
        <v>60</v>
      </c>
      <c r="C17" s="28"/>
      <c r="D17" s="29"/>
      <c r="E17" s="30"/>
      <c r="F17" s="29"/>
      <c r="G17" s="28"/>
      <c r="H17" s="29"/>
      <c r="I17" s="30"/>
      <c r="J17" s="29"/>
      <c r="K17" s="31"/>
      <c r="L17" s="31"/>
      <c r="M17" s="31"/>
      <c r="N17" s="31"/>
      <c r="O17" s="31"/>
      <c r="P17" s="31"/>
    </row>
    <row r="18" spans="1:16" ht="18" customHeight="1" x14ac:dyDescent="0.25">
      <c r="A18" s="27">
        <v>46446</v>
      </c>
      <c r="B18" s="33" t="s">
        <v>60</v>
      </c>
      <c r="C18" s="28"/>
      <c r="D18" s="29"/>
      <c r="E18" s="30"/>
      <c r="F18" s="29"/>
      <c r="G18" s="28"/>
      <c r="H18" s="29"/>
      <c r="I18" s="30"/>
      <c r="J18" s="29"/>
      <c r="K18" s="31"/>
      <c r="L18" s="31"/>
      <c r="M18" s="31"/>
      <c r="N18" s="31"/>
      <c r="O18" s="31"/>
      <c r="P18" s="31"/>
    </row>
    <row r="19" spans="1:16" ht="18" customHeight="1" x14ac:dyDescent="0.25">
      <c r="A19" s="27">
        <v>46477</v>
      </c>
      <c r="B19" s="33" t="s">
        <v>60</v>
      </c>
      <c r="C19" s="28"/>
      <c r="D19" s="29"/>
      <c r="E19" s="30"/>
      <c r="F19" s="29"/>
      <c r="G19" s="28"/>
      <c r="H19" s="29"/>
      <c r="I19" s="30"/>
      <c r="J19" s="29"/>
      <c r="K19" s="31"/>
      <c r="L19" s="31"/>
      <c r="M19" s="31"/>
      <c r="N19" s="31"/>
      <c r="O19" s="31"/>
      <c r="P19" s="31"/>
    </row>
    <row r="20" spans="1:16" ht="18" customHeight="1" x14ac:dyDescent="0.25">
      <c r="A20" s="27">
        <v>46507</v>
      </c>
      <c r="B20" s="33" t="s">
        <v>60</v>
      </c>
      <c r="C20" s="28"/>
      <c r="D20" s="29"/>
      <c r="E20" s="30"/>
      <c r="F20" s="29"/>
      <c r="G20" s="28"/>
      <c r="H20" s="29"/>
      <c r="I20" s="30"/>
      <c r="J20" s="29"/>
      <c r="K20" s="31"/>
      <c r="L20" s="31"/>
      <c r="M20" s="31"/>
      <c r="N20" s="31"/>
      <c r="O20" s="31"/>
      <c r="P20" s="31"/>
    </row>
    <row r="21" spans="1:16" ht="18" customHeight="1" x14ac:dyDescent="0.25">
      <c r="A21" s="27">
        <v>46538</v>
      </c>
      <c r="B21" s="33" t="s">
        <v>60</v>
      </c>
      <c r="C21" s="28"/>
      <c r="D21" s="29"/>
      <c r="E21" s="30"/>
      <c r="F21" s="29"/>
      <c r="G21" s="28"/>
      <c r="H21" s="29"/>
      <c r="I21" s="30"/>
      <c r="J21" s="29"/>
      <c r="K21" s="31"/>
      <c r="L21" s="31"/>
      <c r="M21" s="31"/>
      <c r="N21" s="31"/>
      <c r="O21" s="31"/>
      <c r="P21" s="31"/>
    </row>
    <row r="22" spans="1:16" ht="18" customHeight="1" x14ac:dyDescent="0.25">
      <c r="A22" s="27">
        <v>46568</v>
      </c>
      <c r="B22" s="33" t="s">
        <v>60</v>
      </c>
      <c r="C22" s="28"/>
      <c r="D22" s="29"/>
      <c r="E22" s="30"/>
      <c r="F22" s="29"/>
      <c r="G22" s="28"/>
      <c r="H22" s="29"/>
      <c r="I22" s="30"/>
      <c r="J22" s="29"/>
      <c r="K22" s="31"/>
      <c r="L22" s="31"/>
      <c r="M22" s="31"/>
      <c r="N22" s="31"/>
      <c r="O22" s="31"/>
      <c r="P22" s="31"/>
    </row>
    <row r="23" spans="1:16" ht="18" customHeight="1" x14ac:dyDescent="0.25">
      <c r="A23" s="27">
        <v>46599</v>
      </c>
      <c r="B23" s="33" t="s">
        <v>60</v>
      </c>
      <c r="C23" s="28"/>
      <c r="D23" s="29"/>
      <c r="E23" s="30"/>
      <c r="F23" s="29"/>
      <c r="G23" s="28"/>
      <c r="H23" s="29"/>
      <c r="I23" s="30"/>
      <c r="J23" s="29"/>
      <c r="K23" s="31"/>
      <c r="L23" s="31"/>
      <c r="M23" s="31"/>
      <c r="N23" s="31"/>
      <c r="O23" s="31"/>
      <c r="P23" s="31"/>
    </row>
    <row r="24" spans="1:16" ht="18" customHeight="1" x14ac:dyDescent="0.25">
      <c r="A24" s="27">
        <v>46630</v>
      </c>
      <c r="B24" s="33" t="s">
        <v>60</v>
      </c>
      <c r="C24" s="28"/>
      <c r="D24" s="29"/>
      <c r="E24" s="30"/>
      <c r="F24" s="29"/>
      <c r="G24" s="28"/>
      <c r="H24" s="29"/>
      <c r="I24" s="30"/>
      <c r="J24" s="29"/>
      <c r="K24" s="31"/>
      <c r="L24" s="31"/>
      <c r="M24" s="31"/>
      <c r="N24" s="31"/>
      <c r="O24" s="31"/>
      <c r="P24" s="31"/>
    </row>
    <row r="25" spans="1:16" ht="18" customHeight="1" x14ac:dyDescent="0.25">
      <c r="A25" s="27">
        <v>46660</v>
      </c>
      <c r="B25" s="33" t="s">
        <v>60</v>
      </c>
      <c r="C25" s="28"/>
      <c r="D25" s="29"/>
      <c r="E25" s="30"/>
      <c r="F25" s="29"/>
      <c r="G25" s="28"/>
      <c r="H25" s="29"/>
      <c r="I25" s="30"/>
      <c r="J25" s="29"/>
      <c r="K25" s="31"/>
      <c r="L25" s="31"/>
      <c r="M25" s="31"/>
      <c r="N25" s="31"/>
      <c r="O25" s="31"/>
      <c r="P25" s="31"/>
    </row>
    <row r="26" spans="1:16" ht="18" customHeight="1" x14ac:dyDescent="0.25">
      <c r="A26" s="27">
        <v>46691</v>
      </c>
      <c r="B26" s="33" t="s">
        <v>60</v>
      </c>
      <c r="C26" s="28"/>
      <c r="D26" s="29"/>
      <c r="E26" s="30"/>
      <c r="F26" s="29"/>
      <c r="G26" s="28"/>
      <c r="H26" s="29"/>
      <c r="I26" s="30"/>
      <c r="J26" s="29"/>
      <c r="K26" s="31"/>
      <c r="L26" s="31"/>
      <c r="M26" s="31"/>
      <c r="N26" s="31"/>
      <c r="O26" s="31"/>
      <c r="P26" s="31"/>
    </row>
    <row r="27" spans="1:16" ht="18" customHeight="1" x14ac:dyDescent="0.25">
      <c r="A27" s="27">
        <v>46721</v>
      </c>
      <c r="B27" s="33" t="s">
        <v>60</v>
      </c>
      <c r="C27" s="28"/>
      <c r="D27" s="29"/>
      <c r="E27" s="30"/>
      <c r="F27" s="29"/>
      <c r="G27" s="28"/>
      <c r="H27" s="29"/>
      <c r="I27" s="30"/>
      <c r="J27" s="29"/>
      <c r="K27" s="31"/>
      <c r="L27" s="31"/>
      <c r="M27" s="31"/>
      <c r="N27" s="31"/>
      <c r="O27" s="31"/>
      <c r="P27" s="31"/>
    </row>
    <row r="28" spans="1:16" ht="18" customHeight="1" x14ac:dyDescent="0.25">
      <c r="A28" s="27">
        <v>46752</v>
      </c>
      <c r="B28" s="33" t="s">
        <v>60</v>
      </c>
      <c r="C28" s="28"/>
      <c r="D28" s="29"/>
      <c r="E28" s="30"/>
      <c r="F28" s="29"/>
      <c r="G28" s="28"/>
      <c r="H28" s="29"/>
      <c r="I28" s="30"/>
      <c r="J28" s="29"/>
      <c r="K28" s="31"/>
      <c r="L28" s="31"/>
      <c r="M28" s="31"/>
      <c r="N28" s="31"/>
      <c r="O28" s="31"/>
      <c r="P28" s="31"/>
    </row>
  </sheetData>
  <mergeCells count="1">
    <mergeCell ref="A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B89B-7518-4375-83C8-F75CFA787059}">
  <dimension ref="A1:Y30"/>
  <sheetViews>
    <sheetView workbookViewId="0">
      <pane ySplit="4" topLeftCell="A5" activePane="bottomLeft" state="frozen"/>
      <selection pane="bottomLeft" activeCell="J14" sqref="J14"/>
    </sheetView>
  </sheetViews>
  <sheetFormatPr defaultRowHeight="15" x14ac:dyDescent="0.25"/>
  <cols>
    <col min="1" max="1" width="27.5703125" customWidth="1"/>
    <col min="2" max="25" width="13.7109375" customWidth="1"/>
  </cols>
  <sheetData>
    <row r="1" spans="1:25" s="12" customFormat="1" ht="32.1" customHeight="1" x14ac:dyDescent="0.35">
      <c r="A1" s="11" t="s">
        <v>61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18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8" customHeight="1" x14ac:dyDescent="0.25">
      <c r="A3" s="35" t="s">
        <v>62</v>
      </c>
      <c r="B3" s="36">
        <v>46053</v>
      </c>
      <c r="C3" s="36">
        <v>46081</v>
      </c>
      <c r="D3" s="36">
        <v>46112</v>
      </c>
      <c r="E3" s="36">
        <v>46142</v>
      </c>
      <c r="F3" s="36">
        <v>46173</v>
      </c>
      <c r="G3" s="36">
        <v>46203</v>
      </c>
      <c r="H3" s="47">
        <v>46234</v>
      </c>
      <c r="I3" s="47">
        <v>46265</v>
      </c>
      <c r="J3" s="47">
        <v>46295</v>
      </c>
      <c r="K3" s="47">
        <v>46326</v>
      </c>
      <c r="L3" s="47">
        <v>46356</v>
      </c>
      <c r="M3" s="47">
        <v>46387</v>
      </c>
      <c r="N3" s="47">
        <v>46418</v>
      </c>
      <c r="O3" s="47">
        <v>46446</v>
      </c>
      <c r="P3" s="47">
        <v>46477</v>
      </c>
      <c r="Q3" s="47">
        <v>46507</v>
      </c>
      <c r="R3" s="47">
        <v>46538</v>
      </c>
      <c r="S3" s="47">
        <v>46568</v>
      </c>
      <c r="T3" s="47">
        <v>46599</v>
      </c>
      <c r="U3" s="47">
        <v>46630</v>
      </c>
      <c r="V3" s="47">
        <v>46660</v>
      </c>
      <c r="W3" s="47">
        <v>46691</v>
      </c>
      <c r="X3" s="47">
        <v>46721</v>
      </c>
      <c r="Y3" s="47">
        <v>46752</v>
      </c>
    </row>
    <row r="4" spans="1:25" ht="18" customHeight="1" x14ac:dyDescent="0.25">
      <c r="A4" s="35" t="s">
        <v>44</v>
      </c>
      <c r="B4" s="35" t="inlineStr">
        <is>
          <t xml:space="preserve">Actual</t>
        </is>
      </c>
      <c r="C4" s="35" t="inlineStr">
        <is>
          <t xml:space="preserve">Actual</t>
        </is>
      </c>
      <c r="D4" s="35" t="inlineStr">
        <is>
          <t xml:space="preserve">Actual</t>
        </is>
      </c>
      <c r="E4" s="35" t="inlineStr">
        <is>
          <t xml:space="preserve">Actual</t>
        </is>
      </c>
      <c r="F4" s="35" t="inlineStr">
        <is>
          <t xml:space="preserve">Actual</t>
        </is>
      </c>
      <c r="G4" s="35" t="inlineStr">
        <is>
          <t xml:space="preserve">Actual</t>
        </is>
      </c>
      <c r="H4" s="48" t="inlineStr">
        <is>
          <t xml:space="preserve">Actual</t>
        </is>
      </c>
      <c r="I4" s="48" t="inlineStr">
        <is>
          <t xml:space="preserve">Actual</t>
        </is>
      </c>
      <c r="J4" s="48" t="inlineStr">
        <is>
          <t xml:space="preserve">Actual</t>
        </is>
      </c>
      <c r="K4" s="48" t="inlineStr">
        <is>
          <t xml:space="preserve">Actual</t>
        </is>
      </c>
      <c r="L4" s="48" t="inlineStr">
        <is>
          <t xml:space="preserve">Actual</t>
        </is>
      </c>
      <c r="M4" s="48" t="inlineStr">
        <is>
          <t xml:space="preserve">Actual</t>
        </is>
      </c>
      <c r="N4" s="48" t="inlineStr">
        <is>
          <t xml:space="preserve">Forecast</t>
        </is>
      </c>
      <c r="O4" s="48" t="inlineStr">
        <is>
          <t xml:space="preserve">Forecast</t>
        </is>
      </c>
      <c r="P4" s="48" t="inlineStr">
        <is>
          <t xml:space="preserve">Forecast</t>
        </is>
      </c>
      <c r="Q4" s="48" t="inlineStr">
        <is>
          <t xml:space="preserve">Forecast</t>
        </is>
      </c>
      <c r="R4" s="48" t="inlineStr">
        <is>
          <t xml:space="preserve">Forecast</t>
        </is>
      </c>
      <c r="S4" s="48" t="inlineStr">
        <is>
          <t xml:space="preserve">Forecast</t>
        </is>
      </c>
      <c r="T4" s="48" t="inlineStr">
        <is>
          <t xml:space="preserve">Forecast</t>
        </is>
      </c>
      <c r="U4" s="48" t="inlineStr">
        <is>
          <t xml:space="preserve">Forecast</t>
        </is>
      </c>
      <c r="V4" s="48" t="inlineStr">
        <is>
          <t xml:space="preserve">Forecast</t>
        </is>
      </c>
      <c r="W4" s="48" t="inlineStr">
        <is>
          <t xml:space="preserve">Forecast</t>
        </is>
      </c>
      <c r="X4" s="48" t="inlineStr">
        <is>
          <t xml:space="preserve">Forecast</t>
        </is>
      </c>
      <c r="Y4" s="48" t="inlineStr">
        <is>
          <t xml:space="preserve">Forecast</t>
        </is>
      </c>
    </row>
    <row r="5" spans="1:25" ht="18" customHeight="1" x14ac:dyDescent="0.25">
      <c r="A5" s="1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8" customHeight="1" x14ac:dyDescent="0.25">
      <c r="A6" s="16" t="s">
        <v>63</v>
      </c>
      <c r="B6" s="7">
        <v>43.75</v>
      </c>
      <c r="C6" s="7">
        <v>44.23</v>
      </c>
      <c r="D6" s="7">
        <v>44.71</v>
      </c>
      <c r="E6" s="7">
        <v>45.19</v>
      </c>
      <c r="F6" s="7">
        <v>45.67</v>
      </c>
      <c r="G6" s="7">
        <v>46.15</v>
      </c>
      <c r="H6" s="7">
        <v>46.63</v>
      </c>
      <c r="I6" s="7">
        <v>47.11</v>
      </c>
      <c r="J6" s="7">
        <v>47.59</v>
      </c>
      <c r="K6" s="7">
        <v>48.32</v>
      </c>
      <c r="L6" s="7">
        <v>48.8</v>
      </c>
      <c r="M6" s="7">
        <v>49.28</v>
      </c>
      <c r="N6" s="7">
        <v>49.674240000000005</v>
      </c>
      <c r="O6" s="7">
        <v>50.071633920000004</v>
      </c>
      <c r="P6" s="7">
        <v>50.472206991360004</v>
      </c>
      <c r="Q6" s="7">
        <v>50.875984647290885</v>
      </c>
      <c r="R6" s="7">
        <v>51.282992524469215</v>
      </c>
      <c r="S6" s="7">
        <v>51.693256464664969</v>
      </c>
      <c r="T6" s="7">
        <v>52.106802516382288</v>
      </c>
      <c r="U6" s="7">
        <v>52.523656936513348</v>
      </c>
      <c r="V6" s="7">
        <v>52.943846192005452</v>
      </c>
      <c r="W6" s="7">
        <v>53.367396961541495</v>
      </c>
      <c r="X6" s="7">
        <v>53.794336137233827</v>
      </c>
      <c r="Y6" s="7">
        <v>54.224690826331695</v>
      </c>
    </row>
    <row r="7" spans="1:25" ht="18" customHeight="1" x14ac:dyDescent="0.25">
      <c r="A7" s="16" t="s">
        <v>64</v>
      </c>
      <c r="B7" s="8">
        <v>31550</v>
      </c>
      <c r="C7" s="8">
        <v>31650</v>
      </c>
      <c r="D7" s="8">
        <v>31750</v>
      </c>
      <c r="E7" s="8">
        <v>31850</v>
      </c>
      <c r="F7" s="8">
        <v>31950</v>
      </c>
      <c r="G7" s="8">
        <v>32050</v>
      </c>
      <c r="H7" s="8">
        <v>32150</v>
      </c>
      <c r="I7" s="8">
        <v>32250</v>
      </c>
      <c r="J7" s="8">
        <v>32350</v>
      </c>
      <c r="K7" s="8">
        <v>32450</v>
      </c>
      <c r="L7" s="8">
        <v>32550</v>
      </c>
      <c r="M7" s="8">
        <v>32650</v>
      </c>
      <c r="N7" s="8">
        <v>32758.833333333336</v>
      </c>
      <c r="O7" s="8">
        <v>32868.029444444452</v>
      </c>
      <c r="P7" s="8">
        <v>32977.589542592599</v>
      </c>
      <c r="Q7" s="8">
        <v>33087.51484106791</v>
      </c>
      <c r="R7" s="8">
        <v>33197.806557204807</v>
      </c>
      <c r="S7" s="8">
        <v>33308.465912395492</v>
      </c>
      <c r="T7" s="8">
        <v>33419.494132103478</v>
      </c>
      <c r="U7" s="8">
        <v>33530.892445877158</v>
      </c>
      <c r="V7" s="8">
        <v>33642.662087363417</v>
      </c>
      <c r="W7" s="8">
        <v>33754.8042943213</v>
      </c>
      <c r="X7" s="8">
        <v>33867.32030863571</v>
      </c>
      <c r="Y7" s="8">
        <v>33980.211376331165</v>
      </c>
    </row>
    <row r="8" spans="1:25" ht="18" customHeight="1" x14ac:dyDescent="0.25">
      <c r="A8" s="40" t="s">
        <v>65</v>
      </c>
      <c r="B8" s="41">
        <v>1380.3125</v>
      </c>
      <c r="C8" s="41">
        <v>1399.8795</v>
      </c>
      <c r="D8" s="41">
        <v>1419.5425</v>
      </c>
      <c r="E8" s="41">
        <v>1439.3015</v>
      </c>
      <c r="F8" s="41">
        <v>1459.1565000000001</v>
      </c>
      <c r="G8" s="41">
        <v>1479.1075000000001</v>
      </c>
      <c r="H8" s="41">
        <v>1499.1545000000001</v>
      </c>
      <c r="I8" s="41">
        <v>1519.2974999999999</v>
      </c>
      <c r="J8" s="41">
        <v>1539.5364999999999</v>
      </c>
      <c r="K8" s="41">
        <v>1567.9839999999999</v>
      </c>
      <c r="L8" s="41">
        <v>1588.44</v>
      </c>
      <c r="M8" s="41">
        <v>1608.992</v>
      </c>
      <c r="N8" s="41">
        <v>1627.2701491200003</v>
      </c>
      <c r="O8" s="41">
        <v>1645.7559380140037</v>
      </c>
      <c r="P8" s="41">
        <v>1664.4517254698428</v>
      </c>
      <c r="Q8" s="41">
        <v>1683.3598970711805</v>
      </c>
      <c r="R8" s="41">
        <v>1702.4828655019094</v>
      </c>
      <c r="S8" s="41">
        <v>1721.8230708540109</v>
      </c>
      <c r="T8" s="41">
        <v>1741.3829809389126</v>
      </c>
      <c r="U8" s="41">
        <v>1761.1650916023787</v>
      </c>
      <c r="V8" s="41">
        <v>1781.1719270429819</v>
      </c>
      <c r="W8" s="41">
        <v>1801.4060401341903</v>
      </c>
      <c r="X8" s="41">
        <v>1821.8700127501149</v>
      </c>
      <c r="Y8" s="41">
        <v>1842.5664560949565</v>
      </c>
    </row>
    <row r="9" spans="1:25" ht="18" customHeight="1" x14ac:dyDescent="0.25">
      <c r="A9" s="1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8" customHeight="1" x14ac:dyDescent="0.25">
      <c r="A10" s="1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8" customHeight="1" x14ac:dyDescent="0.25">
      <c r="A11" s="16" t="s">
        <v>66</v>
      </c>
      <c r="B11" s="7">
        <v>4.58</v>
      </c>
      <c r="C11" s="7">
        <v>4.625</v>
      </c>
      <c r="D11" s="7">
        <v>4.67</v>
      </c>
      <c r="E11" s="7">
        <v>4.7149999999999999</v>
      </c>
      <c r="F11" s="7">
        <v>4.76</v>
      </c>
      <c r="G11" s="7">
        <v>4.8049999999999997</v>
      </c>
      <c r="H11" s="7">
        <v>4.8499999999999996</v>
      </c>
      <c r="I11" s="7">
        <v>4.8950000000000005</v>
      </c>
      <c r="J11" s="7">
        <v>4.9400000000000004</v>
      </c>
      <c r="K11" s="7">
        <v>5.0150000000000006</v>
      </c>
      <c r="L11" s="7">
        <v>5.0600000000000005</v>
      </c>
      <c r="M11" s="7">
        <v>5.1050000000000004</v>
      </c>
      <c r="N11" s="7">
        <v>5.1305249999999996</v>
      </c>
      <c r="O11" s="7">
        <v>5.1561776249999989</v>
      </c>
      <c r="P11" s="7">
        <v>5.1819585131249983</v>
      </c>
      <c r="Q11" s="7">
        <v>5.2078683056906225</v>
      </c>
      <c r="R11" s="7">
        <v>5.2339076472190751</v>
      </c>
      <c r="S11" s="7">
        <v>5.2600771854551702</v>
      </c>
      <c r="T11" s="7">
        <v>5.2863775713824452</v>
      </c>
      <c r="U11" s="7">
        <v>5.3128094592393573</v>
      </c>
      <c r="V11" s="7">
        <v>5.3393735065355532</v>
      </c>
      <c r="W11" s="7">
        <v>5.3660703740682303</v>
      </c>
      <c r="X11" s="7">
        <v>5.3929007259385706</v>
      </c>
      <c r="Y11" s="7">
        <v>5.4198652295682628</v>
      </c>
    </row>
    <row r="12" spans="1:25" ht="18" customHeight="1" x14ac:dyDescent="0.25">
      <c r="A12" s="16" t="s">
        <v>67</v>
      </c>
      <c r="B12" s="8">
        <v>211000</v>
      </c>
      <c r="C12" s="8">
        <v>211400</v>
      </c>
      <c r="D12" s="8">
        <v>211800</v>
      </c>
      <c r="E12" s="8">
        <v>212200</v>
      </c>
      <c r="F12" s="8">
        <v>212600</v>
      </c>
      <c r="G12" s="8">
        <v>213000</v>
      </c>
      <c r="H12" s="8">
        <v>213400</v>
      </c>
      <c r="I12" s="8">
        <v>213800</v>
      </c>
      <c r="J12" s="8">
        <v>214200</v>
      </c>
      <c r="K12" s="8">
        <v>214600</v>
      </c>
      <c r="L12" s="8">
        <v>215000</v>
      </c>
      <c r="M12" s="8">
        <v>215400</v>
      </c>
      <c r="N12" s="8">
        <v>215938.5</v>
      </c>
      <c r="O12" s="8">
        <v>216478.34625</v>
      </c>
      <c r="P12" s="8">
        <v>217019.54211562499</v>
      </c>
      <c r="Q12" s="8">
        <v>217562.09097091405</v>
      </c>
      <c r="R12" s="8">
        <v>218105.99619834134</v>
      </c>
      <c r="S12" s="8">
        <v>218651.26118883718</v>
      </c>
      <c r="T12" s="8">
        <v>219197.88934180926</v>
      </c>
      <c r="U12" s="8">
        <v>219745.88406516379</v>
      </c>
      <c r="V12" s="8">
        <v>220295.24877532668</v>
      </c>
      <c r="W12" s="8">
        <v>220845.98689726499</v>
      </c>
      <c r="X12" s="8">
        <v>221398.10186450815</v>
      </c>
      <c r="Y12" s="8">
        <v>221951.5971191694</v>
      </c>
    </row>
    <row r="13" spans="1:25" ht="18" customHeight="1" x14ac:dyDescent="0.25">
      <c r="A13" s="40" t="s">
        <v>68</v>
      </c>
      <c r="B13" s="41">
        <v>966.38</v>
      </c>
      <c r="C13" s="41">
        <v>977.72500000000002</v>
      </c>
      <c r="D13" s="41">
        <v>989.10599999999999</v>
      </c>
      <c r="E13" s="41">
        <v>1000.523</v>
      </c>
      <c r="F13" s="41">
        <v>1011.976</v>
      </c>
      <c r="G13" s="41">
        <v>1023.4649999999999</v>
      </c>
      <c r="H13" s="41">
        <v>1034.9899999999998</v>
      </c>
      <c r="I13" s="41">
        <v>1046.5510000000002</v>
      </c>
      <c r="J13" s="41">
        <v>1058.1479999999999</v>
      </c>
      <c r="K13" s="41">
        <v>1076.2190000000003</v>
      </c>
      <c r="L13" s="41">
        <v>1087.9000000000001</v>
      </c>
      <c r="M13" s="41">
        <v>1099.617</v>
      </c>
      <c r="N13" s="41">
        <v>1107.8778727125</v>
      </c>
      <c r="O13" s="41">
        <v>1116.2008052312524</v>
      </c>
      <c r="P13" s="41">
        <v>1124.5862637805519</v>
      </c>
      <c r="Q13" s="41">
        <v>1133.0347180872034</v>
      </c>
      <c r="R13" s="41">
        <v>1141.5466414068333</v>
      </c>
      <c r="S13" s="41">
        <v>1150.1225105504018</v>
      </c>
      <c r="T13" s="41">
        <v>1158.7628059109115</v>
      </c>
      <c r="U13" s="41">
        <v>1167.4680114903174</v>
      </c>
      <c r="V13" s="41">
        <v>1176.2386149266381</v>
      </c>
      <c r="W13" s="41">
        <v>1185.075107521274</v>
      </c>
      <c r="X13" s="41">
        <v>1193.9779842665278</v>
      </c>
      <c r="Y13" s="41">
        <v>1202.9477438733295</v>
      </c>
    </row>
    <row r="14" spans="1:25" ht="18" customHeight="1" x14ac:dyDescent="0.25">
      <c r="A14" s="16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8" customHeight="1" x14ac:dyDescent="0.25">
      <c r="A15" s="1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8" customHeight="1" x14ac:dyDescent="0.25">
      <c r="A16" s="16" t="s">
        <v>69</v>
      </c>
      <c r="B16" s="7">
        <v>31</v>
      </c>
      <c r="C16" s="7">
        <v>31.52</v>
      </c>
      <c r="D16" s="7">
        <v>32.04</v>
      </c>
      <c r="E16" s="7">
        <v>32.56</v>
      </c>
      <c r="F16" s="7">
        <v>33.08</v>
      </c>
      <c r="G16" s="7">
        <v>33.6</v>
      </c>
      <c r="H16" s="7">
        <v>34.119999999999997</v>
      </c>
      <c r="I16" s="7">
        <v>34.64</v>
      </c>
      <c r="J16" s="7">
        <v>35.159999999999997</v>
      </c>
      <c r="K16" s="7">
        <v>35.93</v>
      </c>
      <c r="L16" s="7">
        <v>36.450000000000003</v>
      </c>
      <c r="M16" s="7">
        <v>36.97</v>
      </c>
      <c r="N16" s="7">
        <v>37.376669999999997</v>
      </c>
      <c r="O16" s="7">
        <v>37.787813369999995</v>
      </c>
      <c r="P16" s="7">
        <v>38.203479317069991</v>
      </c>
      <c r="Q16" s="7">
        <v>38.623717589557756</v>
      </c>
      <c r="R16" s="7">
        <v>39.048578483042888</v>
      </c>
      <c r="S16" s="7">
        <v>39.478112846356353</v>
      </c>
      <c r="T16" s="7">
        <v>39.91237208766627</v>
      </c>
      <c r="U16" s="7">
        <v>40.351408180630592</v>
      </c>
      <c r="V16" s="7">
        <v>40.795273670617526</v>
      </c>
      <c r="W16" s="7">
        <v>41.244021680994315</v>
      </c>
      <c r="X16" s="7">
        <v>41.697705919485252</v>
      </c>
      <c r="Y16" s="7">
        <v>42.156380684599583</v>
      </c>
    </row>
    <row r="17" spans="1:25" ht="18" customHeight="1" x14ac:dyDescent="0.25">
      <c r="A17" s="16" t="s">
        <v>70</v>
      </c>
      <c r="B17" s="8">
        <v>9340</v>
      </c>
      <c r="C17" s="8">
        <v>9372</v>
      </c>
      <c r="D17" s="8">
        <v>9404</v>
      </c>
      <c r="E17" s="8">
        <v>9436</v>
      </c>
      <c r="F17" s="8">
        <v>9468</v>
      </c>
      <c r="G17" s="8">
        <v>9500</v>
      </c>
      <c r="H17" s="8">
        <v>9532</v>
      </c>
      <c r="I17" s="8">
        <v>9564</v>
      </c>
      <c r="J17" s="8">
        <v>9596</v>
      </c>
      <c r="K17" s="8">
        <v>9628</v>
      </c>
      <c r="L17" s="8">
        <v>9660</v>
      </c>
      <c r="M17" s="8">
        <v>9692</v>
      </c>
      <c r="N17" s="8">
        <v>9724.3066666666673</v>
      </c>
      <c r="O17" s="8">
        <v>9756.7210222222238</v>
      </c>
      <c r="P17" s="8">
        <v>9789.2434256296328</v>
      </c>
      <c r="Q17" s="8">
        <v>9821.8742370483997</v>
      </c>
      <c r="R17" s="8">
        <v>9854.6138178385609</v>
      </c>
      <c r="S17" s="8">
        <v>9887.4625305646896</v>
      </c>
      <c r="T17" s="8">
        <v>9920.4207389999065</v>
      </c>
      <c r="U17" s="8">
        <v>9953.4888081299068</v>
      </c>
      <c r="V17" s="8">
        <v>9986.667104157008</v>
      </c>
      <c r="W17" s="8">
        <v>10019.955994504198</v>
      </c>
      <c r="X17" s="8">
        <v>10053.355847819214</v>
      </c>
      <c r="Y17" s="8">
        <v>10086.867033978611</v>
      </c>
    </row>
    <row r="18" spans="1:25" ht="18" customHeight="1" x14ac:dyDescent="0.25">
      <c r="A18" s="40" t="s">
        <v>71</v>
      </c>
      <c r="B18" s="41">
        <v>289.54000000000002</v>
      </c>
      <c r="C18" s="41">
        <v>295.40544</v>
      </c>
      <c r="D18" s="41">
        <v>301.30415999999997</v>
      </c>
      <c r="E18" s="41">
        <v>307.23616000000004</v>
      </c>
      <c r="F18" s="41">
        <v>313.20143999999999</v>
      </c>
      <c r="G18" s="41">
        <v>319.2</v>
      </c>
      <c r="H18" s="41">
        <v>325.23183999999998</v>
      </c>
      <c r="I18" s="41">
        <v>331.29696000000001</v>
      </c>
      <c r="J18" s="41">
        <v>337.39535999999998</v>
      </c>
      <c r="K18" s="41">
        <v>345.93403999999998</v>
      </c>
      <c r="L18" s="41">
        <v>352.10700000000003</v>
      </c>
      <c r="M18" s="41">
        <v>358.31324000000001</v>
      </c>
      <c r="N18" s="41">
        <v>363.46220125880001</v>
      </c>
      <c r="O18" s="41">
        <v>368.685153090889</v>
      </c>
      <c r="P18" s="41">
        <v>373.98315874080504</v>
      </c>
      <c r="Q18" s="41">
        <v>379.35729673191042</v>
      </c>
      <c r="R18" s="41">
        <v>384.80866108594796</v>
      </c>
      <c r="S18" s="41">
        <v>390.33836154575295</v>
      </c>
      <c r="T18" s="41">
        <v>395.94752380116546</v>
      </c>
      <c r="U18" s="41">
        <v>401.63728971818819</v>
      </c>
      <c r="V18" s="41">
        <v>407.40881757143853</v>
      </c>
      <c r="W18" s="41">
        <v>413.26328227994009</v>
      </c>
      <c r="X18" s="41">
        <v>419.20187564630288</v>
      </c>
      <c r="Y18" s="41">
        <v>425.22580659934022</v>
      </c>
    </row>
    <row r="19" spans="1:25" ht="18" customHeight="1" x14ac:dyDescent="0.25">
      <c r="A19" s="16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8" customHeight="1" x14ac:dyDescent="0.25">
      <c r="A20" s="16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8" customHeight="1" x14ac:dyDescent="0.25">
      <c r="A21" s="16" t="s">
        <v>72</v>
      </c>
      <c r="B21" s="7">
        <v>9.32</v>
      </c>
      <c r="C21" s="7">
        <v>9.3800000000000008</v>
      </c>
      <c r="D21" s="7">
        <v>9.44</v>
      </c>
      <c r="E21" s="7">
        <v>9.5</v>
      </c>
      <c r="F21" s="7">
        <v>9.56</v>
      </c>
      <c r="G21" s="7">
        <v>9.620000000000001</v>
      </c>
      <c r="H21" s="7">
        <v>9.68</v>
      </c>
      <c r="I21" s="7">
        <v>9.74</v>
      </c>
      <c r="J21" s="7">
        <v>9.8000000000000007</v>
      </c>
      <c r="K21" s="7">
        <v>9.86</v>
      </c>
      <c r="L21" s="7">
        <v>9.92</v>
      </c>
      <c r="M21" s="7">
        <v>9.98</v>
      </c>
      <c r="N21" s="7">
        <v>10.019920000000001</v>
      </c>
      <c r="O21" s="7">
        <v>10.059999680000001</v>
      </c>
      <c r="P21" s="7">
        <v>10.100239678720001</v>
      </c>
      <c r="Q21" s="7">
        <v>10.140640637434881</v>
      </c>
      <c r="R21" s="7">
        <v>10.181203199984621</v>
      </c>
      <c r="S21" s="7">
        <v>10.221928012784559</v>
      </c>
      <c r="T21" s="7">
        <v>10.262815724835697</v>
      </c>
      <c r="U21" s="7">
        <v>10.30386698773504</v>
      </c>
      <c r="V21" s="7">
        <v>10.345082455685979</v>
      </c>
      <c r="W21" s="7">
        <v>10.386462785508723</v>
      </c>
      <c r="X21" s="7">
        <v>10.428008636650757</v>
      </c>
      <c r="Y21" s="7">
        <v>10.46972067119736</v>
      </c>
    </row>
    <row r="22" spans="1:25" ht="18" customHeight="1" x14ac:dyDescent="0.25">
      <c r="A22" s="16" t="s">
        <v>73</v>
      </c>
      <c r="B22" s="8">
        <v>27400</v>
      </c>
      <c r="C22" s="8">
        <v>27490</v>
      </c>
      <c r="D22" s="8">
        <v>27580</v>
      </c>
      <c r="E22" s="8">
        <v>27670</v>
      </c>
      <c r="F22" s="8">
        <v>27760</v>
      </c>
      <c r="G22" s="8">
        <v>27850</v>
      </c>
      <c r="H22" s="8">
        <v>27940</v>
      </c>
      <c r="I22" s="8">
        <v>28030</v>
      </c>
      <c r="J22" s="8">
        <v>28120</v>
      </c>
      <c r="K22" s="8">
        <v>28210</v>
      </c>
      <c r="L22" s="8">
        <v>28300</v>
      </c>
      <c r="M22" s="8">
        <v>28390</v>
      </c>
      <c r="N22" s="8">
        <v>28460.974999999999</v>
      </c>
      <c r="O22" s="8">
        <v>28532.127437499996</v>
      </c>
      <c r="P22" s="8">
        <v>28603.457756093743</v>
      </c>
      <c r="Q22" s="8">
        <v>28674.966400483976</v>
      </c>
      <c r="R22" s="8">
        <v>28746.653816485185</v>
      </c>
      <c r="S22" s="8">
        <v>28818.520451026397</v>
      </c>
      <c r="T22" s="8">
        <v>28890.566752153962</v>
      </c>
      <c r="U22" s="8">
        <v>28962.793169034347</v>
      </c>
      <c r="V22" s="8">
        <v>29035.200151956931</v>
      </c>
      <c r="W22" s="8">
        <v>29107.788152336823</v>
      </c>
      <c r="X22" s="8">
        <v>29180.557622717664</v>
      </c>
      <c r="Y22" s="8">
        <v>29253.509016774457</v>
      </c>
    </row>
    <row r="23" spans="1:25" ht="18" customHeight="1" x14ac:dyDescent="0.25">
      <c r="A23" s="40" t="s">
        <v>74</v>
      </c>
      <c r="B23" s="41">
        <v>255.36799999999999</v>
      </c>
      <c r="C23" s="41">
        <v>257.8562</v>
      </c>
      <c r="D23" s="41">
        <v>260.35519999999997</v>
      </c>
      <c r="E23" s="41">
        <v>262.86500000000001</v>
      </c>
      <c r="F23" s="41">
        <v>265.38560000000001</v>
      </c>
      <c r="G23" s="41">
        <v>267.91699999999997</v>
      </c>
      <c r="H23" s="41">
        <v>270.45920000000001</v>
      </c>
      <c r="I23" s="41">
        <v>273.01220000000001</v>
      </c>
      <c r="J23" s="41">
        <v>275.57600000000002</v>
      </c>
      <c r="K23" s="41">
        <v>278.1506</v>
      </c>
      <c r="L23" s="41">
        <v>280.73599999999999</v>
      </c>
      <c r="M23" s="41">
        <v>283.3322</v>
      </c>
      <c r="N23" s="41">
        <v>285.17669262200002</v>
      </c>
      <c r="O23" s="41">
        <v>287.03319289096925</v>
      </c>
      <c r="P23" s="41">
        <v>288.9017789766894</v>
      </c>
      <c r="Q23" s="41">
        <v>290.78252955782762</v>
      </c>
      <c r="R23" s="41">
        <v>292.67552382524906</v>
      </c>
      <c r="S23" s="41">
        <v>294.58084148535141</v>
      </c>
      <c r="T23" s="41">
        <v>296.49856276342103</v>
      </c>
      <c r="U23" s="41">
        <v>298.42876840701092</v>
      </c>
      <c r="V23" s="41">
        <v>300.37153968934052</v>
      </c>
      <c r="W23" s="41">
        <v>302.32695841271817</v>
      </c>
      <c r="X23" s="41">
        <v>304.29510691198493</v>
      </c>
      <c r="Y23" s="41">
        <v>306.27606805798189</v>
      </c>
    </row>
    <row r="24" spans="1:25" ht="18" customHeight="1" x14ac:dyDescent="0.25">
      <c r="A24" s="16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8" customHeight="1" x14ac:dyDescent="0.25">
      <c r="A25" s="38" t="s">
        <v>75</v>
      </c>
      <c r="B25" s="39">
        <v>2891.6005</v>
      </c>
      <c r="C25" s="39">
        <v>2930.8661400000001</v>
      </c>
      <c r="D25" s="39">
        <v>2970.3078600000003</v>
      </c>
      <c r="E25" s="39">
        <v>3009.9256599999999</v>
      </c>
      <c r="F25" s="39">
        <v>3049.7195400000001</v>
      </c>
      <c r="G25" s="39">
        <v>3089.6895</v>
      </c>
      <c r="H25" s="39">
        <v>3129.83554</v>
      </c>
      <c r="I25" s="39">
        <v>3170.1576600000003</v>
      </c>
      <c r="J25" s="39">
        <v>3210.6558599999998</v>
      </c>
      <c r="K25" s="39">
        <v>3268.2876400000005</v>
      </c>
      <c r="L25" s="39">
        <v>3309.183</v>
      </c>
      <c r="M25" s="39">
        <v>3350.2544399999997</v>
      </c>
      <c r="N25" s="39">
        <v>3383.7869157133009</v>
      </c>
      <c r="O25" s="39">
        <v>3417.6750892271139</v>
      </c>
      <c r="P25" s="39">
        <v>3451.922926967889</v>
      </c>
      <c r="Q25" s="39">
        <v>3486.5344414481224</v>
      </c>
      <c r="R25" s="39">
        <v>3521.5136918199396</v>
      </c>
      <c r="S25" s="39">
        <v>3556.8647844355169</v>
      </c>
      <c r="T25" s="39">
        <v>3592.5918734144107</v>
      </c>
      <c r="U25" s="39">
        <v>3628.6991612178949</v>
      </c>
      <c r="V25" s="39">
        <v>3665.1908992303988</v>
      </c>
      <c r="W25" s="39">
        <v>3702.0713883481226</v>
      </c>
      <c r="X25" s="39">
        <v>3739.3449795749307</v>
      </c>
      <c r="Y25" s="39">
        <v>3777.0160746256079</v>
      </c>
    </row>
    <row r="26" spans="1:25" x14ac:dyDescent="0.25">
      <c r="A26" s="37"/>
    </row>
    <row r="27" spans="1:25" x14ac:dyDescent="0.25">
      <c r="A27" s="37"/>
    </row>
    <row r="28" spans="1:25" x14ac:dyDescent="0.25">
      <c r="A28" s="37"/>
    </row>
    <row r="29" spans="1:25" x14ac:dyDescent="0.25">
      <c r="A29" s="37"/>
    </row>
    <row r="30" spans="1:25" x14ac:dyDescent="0.25">
      <c r="A30" s="37"/>
    </row>
  </sheetData>
  <mergeCells count="1">
    <mergeCell ref="A1:Y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5606-B7D8-4F9A-B583-724838389F39}">
  <dimension ref="A1:Y30"/>
  <sheetViews>
    <sheetView workbookViewId="0">
      <pane ySplit="4" topLeftCell="A5" activePane="bottomLeft" state="frozen"/>
      <selection pane="bottomLeft" activeCell="A17" sqref="A17"/>
    </sheetView>
  </sheetViews>
  <sheetFormatPr defaultRowHeight="15" x14ac:dyDescent="0.25"/>
  <cols>
    <col min="1" max="1" width="27.5703125" customWidth="1"/>
    <col min="2" max="25" width="13.7109375" customWidth="1"/>
  </cols>
  <sheetData>
    <row r="1" spans="1:25" s="12" customFormat="1" ht="32.1" customHeight="1" x14ac:dyDescent="0.35">
      <c r="A1" s="11" t="s">
        <v>76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18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8" customHeight="1" x14ac:dyDescent="0.25">
      <c r="A3" s="35" t="s">
        <v>62</v>
      </c>
      <c r="B3" s="36">
        <v>46053</v>
      </c>
      <c r="C3" s="36">
        <v>46081</v>
      </c>
      <c r="D3" s="36">
        <v>46112</v>
      </c>
      <c r="E3" s="36">
        <v>46142</v>
      </c>
      <c r="F3" s="36">
        <v>46173</v>
      </c>
      <c r="G3" s="36">
        <v>46203</v>
      </c>
      <c r="H3" s="47">
        <v>46234</v>
      </c>
      <c r="I3" s="47">
        <v>46265</v>
      </c>
      <c r="J3" s="47">
        <v>46295</v>
      </c>
      <c r="K3" s="47">
        <v>46326</v>
      </c>
      <c r="L3" s="47">
        <v>46356</v>
      </c>
      <c r="M3" s="47">
        <v>46387</v>
      </c>
      <c r="N3" s="47">
        <v>46418</v>
      </c>
      <c r="O3" s="47">
        <v>46446</v>
      </c>
      <c r="P3" s="47">
        <v>46477</v>
      </c>
      <c r="Q3" s="47">
        <v>46507</v>
      </c>
      <c r="R3" s="47">
        <v>46538</v>
      </c>
      <c r="S3" s="47">
        <v>46568</v>
      </c>
      <c r="T3" s="47">
        <v>46599</v>
      </c>
      <c r="U3" s="47">
        <v>46630</v>
      </c>
      <c r="V3" s="47">
        <v>46660</v>
      </c>
      <c r="W3" s="47">
        <v>46691</v>
      </c>
      <c r="X3" s="47">
        <v>46721</v>
      </c>
      <c r="Y3" s="47">
        <v>46752</v>
      </c>
    </row>
    <row r="4" spans="1:25" ht="18" customHeight="1" x14ac:dyDescent="0.25">
      <c r="A4" s="35" t="s">
        <v>44</v>
      </c>
      <c r="B4" s="35" t="inlineStr">
        <is>
          <t xml:space="preserve">Actual</t>
        </is>
      </c>
      <c r="C4" s="35" t="inlineStr">
        <is>
          <t xml:space="preserve">Actual</t>
        </is>
      </c>
      <c r="D4" s="35" t="inlineStr">
        <is>
          <t xml:space="preserve">Actual</t>
        </is>
      </c>
      <c r="E4" s="35" t="inlineStr">
        <is>
          <t xml:space="preserve">Actual</t>
        </is>
      </c>
      <c r="F4" s="35" t="inlineStr">
        <is>
          <t xml:space="preserve">Actual</t>
        </is>
      </c>
      <c r="G4" s="35" t="inlineStr">
        <is>
          <t xml:space="preserve">Actual</t>
        </is>
      </c>
      <c r="H4" s="48" t="inlineStr">
        <is>
          <t xml:space="preserve">Actual</t>
        </is>
      </c>
      <c r="I4" s="48" t="inlineStr">
        <is>
          <t xml:space="preserve">Actual</t>
        </is>
      </c>
      <c r="J4" s="48" t="inlineStr">
        <is>
          <t xml:space="preserve">Actual</t>
        </is>
      </c>
      <c r="K4" s="48" t="inlineStr">
        <is>
          <t xml:space="preserve">Actual</t>
        </is>
      </c>
      <c r="L4" s="48" t="inlineStr">
        <is>
          <t xml:space="preserve">Actual</t>
        </is>
      </c>
      <c r="M4" s="48" t="inlineStr">
        <is>
          <t xml:space="preserve">Actual</t>
        </is>
      </c>
      <c r="N4" s="48" t="inlineStr">
        <is>
          <t xml:space="preserve">Forecast</t>
        </is>
      </c>
      <c r="O4" s="48" t="inlineStr">
        <is>
          <t xml:space="preserve">Forecast</t>
        </is>
      </c>
      <c r="P4" s="48" t="inlineStr">
        <is>
          <t xml:space="preserve">Forecast</t>
        </is>
      </c>
      <c r="Q4" s="48" t="inlineStr">
        <is>
          <t xml:space="preserve">Forecast</t>
        </is>
      </c>
      <c r="R4" s="48" t="inlineStr">
        <is>
          <t xml:space="preserve">Forecast</t>
        </is>
      </c>
      <c r="S4" s="48" t="inlineStr">
        <is>
          <t xml:space="preserve">Forecast</t>
        </is>
      </c>
      <c r="T4" s="48" t="inlineStr">
        <is>
          <t xml:space="preserve">Forecast</t>
        </is>
      </c>
      <c r="U4" s="48" t="inlineStr">
        <is>
          <t xml:space="preserve">Forecast</t>
        </is>
      </c>
      <c r="V4" s="48" t="inlineStr">
        <is>
          <t xml:space="preserve">Forecast</t>
        </is>
      </c>
      <c r="W4" s="48" t="inlineStr">
        <is>
          <t xml:space="preserve">Forecast</t>
        </is>
      </c>
      <c r="X4" s="48" t="inlineStr">
        <is>
          <t xml:space="preserve">Forecast</t>
        </is>
      </c>
      <c r="Y4" s="48" t="inlineStr">
        <is>
          <t xml:space="preserve">Forecast</t>
        </is>
      </c>
    </row>
    <row r="5" spans="1:25" ht="18" customHeight="1" x14ac:dyDescent="0.25">
      <c r="A5" s="1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8" customHeight="1" x14ac:dyDescent="0.25">
      <c r="A6" s="16" t="s">
        <v>77</v>
      </c>
      <c r="B6" s="9">
        <v>2891.6005</v>
      </c>
      <c r="C6" s="9">
        <v>2930.8661400000001</v>
      </c>
      <c r="D6" s="9">
        <v>2970.3078600000003</v>
      </c>
      <c r="E6" s="9">
        <v>3009.9256599999999</v>
      </c>
      <c r="F6" s="9">
        <v>3049.7195400000001</v>
      </c>
      <c r="G6" s="9">
        <v>3089.6895</v>
      </c>
      <c r="H6" s="9">
        <v>3129.83554</v>
      </c>
      <c r="I6" s="9">
        <v>3170.1576600000003</v>
      </c>
      <c r="J6" s="9">
        <v>3210.6558599999998</v>
      </c>
      <c r="K6" s="9">
        <v>3268.2876400000005</v>
      </c>
      <c r="L6" s="9">
        <v>3309.183</v>
      </c>
      <c r="M6" s="9">
        <v>3350.2544399999997</v>
      </c>
      <c r="N6" s="9">
        <v>3383.7869157133009</v>
      </c>
      <c r="O6" s="9">
        <v>3417.6750892271139</v>
      </c>
      <c r="P6" s="9">
        <v>3451.922926967889</v>
      </c>
      <c r="Q6" s="9">
        <v>3486.5344414481224</v>
      </c>
      <c r="R6" s="9">
        <v>3521.5136918199396</v>
      </c>
      <c r="S6" s="9">
        <v>3556.8647844355169</v>
      </c>
      <c r="T6" s="9">
        <v>3592.5918734144107</v>
      </c>
      <c r="U6" s="9">
        <v>3628.6991612178949</v>
      </c>
      <c r="V6" s="9">
        <v>3665.1908992303988</v>
      </c>
      <c r="W6" s="9">
        <v>3702.0713883481226</v>
      </c>
      <c r="X6" s="9">
        <v>3739.3449795749307</v>
      </c>
      <c r="Y6" s="9">
        <v>3777.0160746256079</v>
      </c>
    </row>
    <row r="7" spans="1:25" ht="18" customHeight="1" x14ac:dyDescent="0.25">
      <c r="A7" s="16" t="s">
        <v>53</v>
      </c>
      <c r="B7" s="9">
        <v>1703.1526944999998</v>
      </c>
      <c r="C7" s="9">
        <v>1729.504109214</v>
      </c>
      <c r="D7" s="9">
        <v>1756.0460068320001</v>
      </c>
      <c r="E7" s="9">
        <v>1782.778968418</v>
      </c>
      <c r="F7" s="9">
        <v>1809.7035750359998</v>
      </c>
      <c r="G7" s="9">
        <v>1836.8204077499997</v>
      </c>
      <c r="H7" s="9">
        <v>1864.1300476240001</v>
      </c>
      <c r="I7" s="9">
        <v>1891.6330757220003</v>
      </c>
      <c r="J7" s="9">
        <v>1919.3300731079999</v>
      </c>
      <c r="K7" s="9">
        <v>1957.3774675959999</v>
      </c>
      <c r="L7" s="9">
        <v>1985.5097999999998</v>
      </c>
      <c r="M7" s="9">
        <v>2013.8379438840002</v>
      </c>
      <c r="N7" s="9">
        <v>2009.8664130196962</v>
      </c>
      <c r="O7" s="9">
        <v>2038.0855802029091</v>
      </c>
      <c r="P7" s="9">
        <v>2066.7129858843937</v>
      </c>
      <c r="Q7" s="9">
        <v>2095.7547036623005</v>
      </c>
      <c r="R7" s="9">
        <v>2125.2168998223115</v>
      </c>
      <c r="S7" s="9">
        <v>2155.1058347844464</v>
      </c>
      <c r="T7" s="9">
        <v>2185.4278645729019</v>
      </c>
      <c r="U7" s="9">
        <v>2216.1894423093017</v>
      </c>
      <c r="V7" s="9">
        <v>2247.3971197297365</v>
      </c>
      <c r="W7" s="9">
        <v>2279.0575487259789</v>
      </c>
      <c r="X7" s="9">
        <v>2311.1774829112592</v>
      </c>
      <c r="Y7" s="9">
        <v>2343.7637792110136</v>
      </c>
    </row>
    <row r="8" spans="1:25" ht="18" customHeight="1" x14ac:dyDescent="0.25">
      <c r="A8" s="40" t="s">
        <v>78</v>
      </c>
      <c r="B8" s="41">
        <v>1188.4478055000002</v>
      </c>
      <c r="C8" s="41">
        <v>1201.3620307860001</v>
      </c>
      <c r="D8" s="41">
        <v>1214.2618531680002</v>
      </c>
      <c r="E8" s="41">
        <v>1227.1466915819999</v>
      </c>
      <c r="F8" s="41">
        <v>1240.0159649640002</v>
      </c>
      <c r="G8" s="41">
        <v>1252.8690922500002</v>
      </c>
      <c r="H8" s="41">
        <v>1265.7054923759999</v>
      </c>
      <c r="I8" s="41">
        <v>1278.524584278</v>
      </c>
      <c r="J8" s="41">
        <v>1291.325786892</v>
      </c>
      <c r="K8" s="41">
        <v>1310.9101724040006</v>
      </c>
      <c r="L8" s="41">
        <v>1323.6732000000002</v>
      </c>
      <c r="M8" s="41">
        <v>1336.4164961159995</v>
      </c>
      <c r="N8" s="41">
        <v>1373.9205026936047</v>
      </c>
      <c r="O8" s="41">
        <v>1379.5895090242047</v>
      </c>
      <c r="P8" s="41">
        <v>1385.2099410834953</v>
      </c>
      <c r="Q8" s="41">
        <v>1390.7797377858219</v>
      </c>
      <c r="R8" s="41">
        <v>1396.2967919976281</v>
      </c>
      <c r="S8" s="41">
        <v>1401.7589496510705</v>
      </c>
      <c r="T8" s="41">
        <v>1407.1640088415088</v>
      </c>
      <c r="U8" s="41">
        <v>1412.5097189085932</v>
      </c>
      <c r="V8" s="41">
        <v>1417.7937795006624</v>
      </c>
      <c r="W8" s="41">
        <v>1423.0138396221437</v>
      </c>
      <c r="X8" s="41">
        <v>1428.1674966636715</v>
      </c>
      <c r="Y8" s="41">
        <v>1433.2522954145943</v>
      </c>
    </row>
    <row r="9" spans="1:25" ht="18" customHeight="1" x14ac:dyDescent="0.25">
      <c r="A9" s="40" t="s">
        <v>79</v>
      </c>
      <c r="B9" s="42">
        <v>0.41100000000000009</v>
      </c>
      <c r="C9" s="42">
        <v>0.40990000000000004</v>
      </c>
      <c r="D9" s="42">
        <v>0.40880000000000005</v>
      </c>
      <c r="E9" s="42">
        <v>0.40770000000000001</v>
      </c>
      <c r="F9" s="42">
        <v>0.40660000000000007</v>
      </c>
      <c r="G9" s="42">
        <v>0.40550000000000008</v>
      </c>
      <c r="H9" s="42">
        <v>0.40439999999999998</v>
      </c>
      <c r="I9" s="42">
        <v>0.40329999999999999</v>
      </c>
      <c r="J9" s="42">
        <v>0.4022</v>
      </c>
      <c r="K9" s="42">
        <v>0.40110000000000012</v>
      </c>
      <c r="L9" s="42">
        <v>0.40000000000000008</v>
      </c>
      <c r="M9" s="42">
        <v>0.39889999999999987</v>
      </c>
      <c r="N9" s="42">
        <v>0.4060304436764402</v>
      </c>
      <c r="O9" s="42">
        <v>0.40366315492447541</v>
      </c>
      <c r="P9" s="42">
        <v>0.40128646276011742</v>
      </c>
      <c r="Q9" s="42">
        <v>0.39890032958004151</v>
      </c>
      <c r="R9" s="42">
        <v>0.39650471762783734</v>
      </c>
      <c r="S9" s="42">
        <v>0.39409958899338171</v>
      </c>
      <c r="T9" s="42">
        <v>0.39168490561220798</v>
      </c>
      <c r="U9" s="42">
        <v>0.38926062926487259</v>
      </c>
      <c r="V9" s="42">
        <v>0.38682672157632081</v>
      </c>
      <c r="W9" s="42">
        <v>0.38438314401524748</v>
      </c>
      <c r="X9" s="42">
        <v>0.38192985789345868</v>
      </c>
      <c r="Y9" s="42">
        <v>0.37946682436522688</v>
      </c>
    </row>
    <row r="10" spans="1:25" ht="18" customHeight="1" x14ac:dyDescent="0.25">
      <c r="A10" s="1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8" customHeight="1" x14ac:dyDescent="0.25">
      <c r="A11" s="16" t="s">
        <v>54</v>
      </c>
      <c r="B11" s="9">
        <v>245</v>
      </c>
      <c r="C11" s="9">
        <v>247.8</v>
      </c>
      <c r="D11" s="9">
        <v>250.6</v>
      </c>
      <c r="E11" s="9">
        <v>253.4</v>
      </c>
      <c r="F11" s="9">
        <v>256.2</v>
      </c>
      <c r="G11" s="9">
        <v>259</v>
      </c>
      <c r="H11" s="9">
        <v>261.8</v>
      </c>
      <c r="I11" s="9">
        <v>264.60000000000002</v>
      </c>
      <c r="J11" s="9">
        <v>267.39999999999998</v>
      </c>
      <c r="K11" s="9">
        <v>270.2</v>
      </c>
      <c r="L11" s="9">
        <v>273</v>
      </c>
      <c r="M11" s="9">
        <v>275.8</v>
      </c>
      <c r="N11" s="9">
        <v>277.17899999999997</v>
      </c>
      <c r="O11" s="9">
        <v>278.56489499999992</v>
      </c>
      <c r="P11" s="9">
        <v>279.95771947499992</v>
      </c>
      <c r="Q11" s="9">
        <v>281.35750807237491</v>
      </c>
      <c r="R11" s="9">
        <v>282.76429561273676</v>
      </c>
      <c r="S11" s="9">
        <v>284.17811709080041</v>
      </c>
      <c r="T11" s="9">
        <v>285.59900767625436</v>
      </c>
      <c r="U11" s="9">
        <v>287.02700271463561</v>
      </c>
      <c r="V11" s="9">
        <v>288.46213772820875</v>
      </c>
      <c r="W11" s="9">
        <v>289.90444841684973</v>
      </c>
      <c r="X11" s="9">
        <v>291.35397065893397</v>
      </c>
      <c r="Y11" s="9">
        <v>292.81074051222862</v>
      </c>
    </row>
    <row r="12" spans="1:25" ht="18" customHeight="1" x14ac:dyDescent="0.25">
      <c r="A12" s="16" t="s">
        <v>55</v>
      </c>
      <c r="B12" s="9">
        <v>164.82122850000002</v>
      </c>
      <c r="C12" s="9">
        <v>167.79208651500002</v>
      </c>
      <c r="D12" s="9">
        <v>170.79270195000004</v>
      </c>
      <c r="E12" s="9">
        <v>173.82320686500003</v>
      </c>
      <c r="F12" s="9">
        <v>176.88373332</v>
      </c>
      <c r="G12" s="9">
        <v>179.97441337500001</v>
      </c>
      <c r="H12" s="9">
        <v>183.09537909000002</v>
      </c>
      <c r="I12" s="9">
        <v>186.24676252500004</v>
      </c>
      <c r="J12" s="9">
        <v>189.42869573999999</v>
      </c>
      <c r="K12" s="9">
        <v>193.64604267000001</v>
      </c>
      <c r="L12" s="9">
        <v>196.8963885</v>
      </c>
      <c r="M12" s="9">
        <v>200.17770279000004</v>
      </c>
      <c r="N12" s="9">
        <v>203.02721494279805</v>
      </c>
      <c r="O12" s="9">
        <v>205.06050535362684</v>
      </c>
      <c r="P12" s="9">
        <v>207.11537561807333</v>
      </c>
      <c r="Q12" s="9">
        <v>209.19206648688734</v>
      </c>
      <c r="R12" s="9">
        <v>211.29082150919638</v>
      </c>
      <c r="S12" s="9">
        <v>213.41188706613102</v>
      </c>
      <c r="T12" s="9">
        <v>215.55551240486463</v>
      </c>
      <c r="U12" s="9">
        <v>217.72194967307368</v>
      </c>
      <c r="V12" s="9">
        <v>219.91145395382392</v>
      </c>
      <c r="W12" s="9">
        <v>222.12428330088736</v>
      </c>
      <c r="X12" s="9">
        <v>224.36069877449583</v>
      </c>
      <c r="Y12" s="9">
        <v>226.62096447753646</v>
      </c>
    </row>
    <row r="13" spans="1:25" ht="18" customHeight="1" x14ac:dyDescent="0.25">
      <c r="A13" s="16" t="s">
        <v>56</v>
      </c>
      <c r="B13" s="9">
        <v>154</v>
      </c>
      <c r="C13" s="9">
        <v>155.35</v>
      </c>
      <c r="D13" s="9">
        <v>156.69999999999999</v>
      </c>
      <c r="E13" s="9">
        <v>158.05000000000001</v>
      </c>
      <c r="F13" s="9">
        <v>159.4</v>
      </c>
      <c r="G13" s="9">
        <v>160.75</v>
      </c>
      <c r="H13" s="9">
        <v>162.1</v>
      </c>
      <c r="I13" s="9">
        <v>163.44999999999999</v>
      </c>
      <c r="J13" s="9">
        <v>164.8</v>
      </c>
      <c r="K13" s="9">
        <v>166.15</v>
      </c>
      <c r="L13" s="9">
        <v>167.5</v>
      </c>
      <c r="M13" s="9">
        <v>168.85</v>
      </c>
      <c r="N13" s="9">
        <v>169.41283333333334</v>
      </c>
      <c r="O13" s="9">
        <v>169.97754277777778</v>
      </c>
      <c r="P13" s="9">
        <v>170.54413458703706</v>
      </c>
      <c r="Q13" s="9">
        <v>171.11261503566053</v>
      </c>
      <c r="R13" s="9">
        <v>171.68299041911274</v>
      </c>
      <c r="S13" s="9">
        <v>172.25526705384314</v>
      </c>
      <c r="T13" s="9">
        <v>172.82945127735596</v>
      </c>
      <c r="U13" s="9">
        <v>173.40554944828048</v>
      </c>
      <c r="V13" s="9">
        <v>173.98356794644144</v>
      </c>
      <c r="W13" s="9">
        <v>174.56351317292959</v>
      </c>
      <c r="X13" s="9">
        <v>175.14539155017269</v>
      </c>
      <c r="Y13" s="9">
        <v>175.72920952200661</v>
      </c>
    </row>
    <row r="14" spans="1:25" ht="18" customHeight="1" x14ac:dyDescent="0.25">
      <c r="A14" s="43" t="s">
        <v>80</v>
      </c>
      <c r="B14" s="44">
        <v>624.62657700000022</v>
      </c>
      <c r="C14" s="44">
        <v>630.41994427100008</v>
      </c>
      <c r="D14" s="44">
        <v>636.16915121800025</v>
      </c>
      <c r="E14" s="44">
        <v>641.87348471699988</v>
      </c>
      <c r="F14" s="44">
        <v>647.53223164400026</v>
      </c>
      <c r="G14" s="44">
        <v>653.14467887500018</v>
      </c>
      <c r="H14" s="44">
        <v>658.71011328599991</v>
      </c>
      <c r="I14" s="44">
        <v>664.22782175299994</v>
      </c>
      <c r="J14" s="44">
        <v>669.69709115199998</v>
      </c>
      <c r="K14" s="44">
        <v>680.91412973400065</v>
      </c>
      <c r="L14" s="44">
        <v>686.27681150000012</v>
      </c>
      <c r="M14" s="44">
        <v>691.5887933259994</v>
      </c>
      <c r="N14" s="44">
        <v>724.30145441747334</v>
      </c>
      <c r="O14" s="44">
        <v>725.98656589280017</v>
      </c>
      <c r="P14" s="44">
        <v>727.59271140338501</v>
      </c>
      <c r="Q14" s="44">
        <v>729.11754819089913</v>
      </c>
      <c r="R14" s="44">
        <v>730.55868445658234</v>
      </c>
      <c r="S14" s="44">
        <v>731.91367844029594</v>
      </c>
      <c r="T14" s="44">
        <v>733.18003748303386</v>
      </c>
      <c r="U14" s="44">
        <v>734.35521707260341</v>
      </c>
      <c r="V14" s="44">
        <v>735.4366198721882</v>
      </c>
      <c r="W14" s="44">
        <v>736.42159473147706</v>
      </c>
      <c r="X14" s="44">
        <v>737.30743568006903</v>
      </c>
      <c r="Y14" s="44">
        <v>738.09138090282261</v>
      </c>
    </row>
    <row r="15" spans="1:25" ht="18" customHeight="1" x14ac:dyDescent="0.25">
      <c r="A15" s="43" t="s">
        <v>81</v>
      </c>
      <c r="B15" s="45">
        <v>0.21601413369516301</v>
      </c>
      <c r="C15" s="45">
        <v>0.21509680557127051</v>
      </c>
      <c r="D15" s="45">
        <v>0.2141761666475879</v>
      </c>
      <c r="E15" s="45">
        <v>0.21325227172454483</v>
      </c>
      <c r="F15" s="45">
        <v>0.21232517388926861</v>
      </c>
      <c r="G15" s="45">
        <v>0.21139492459517378</v>
      </c>
      <c r="H15" s="45">
        <v>0.21046157373687432</v>
      </c>
      <c r="I15" s="45">
        <v>0.2095251697207387</v>
      </c>
      <c r="J15" s="45">
        <v>0.20858575953138747</v>
      </c>
      <c r="K15" s="45">
        <v>0.20833971936876416</v>
      </c>
      <c r="L15" s="45">
        <v>0.2073855726624971</v>
      </c>
      <c r="M15" s="45">
        <v>0.20642873719346505</v>
      </c>
      <c r="N15" s="45">
        <v>0.21405055118986147</v>
      </c>
      <c r="O15" s="45">
        <v>0.21242117724449269</v>
      </c>
      <c r="P15" s="45">
        <v>0.21077895619253881</v>
      </c>
      <c r="Q15" s="45">
        <v>0.20912386222924051</v>
      </c>
      <c r="R15" s="45">
        <v>0.20745586937616739</v>
      </c>
      <c r="S15" s="45">
        <v>0.20577495148060637</v>
      </c>
      <c r="T15" s="45">
        <v>0.20408108221494617</v>
      </c>
      <c r="U15" s="45">
        <v>0.20237423507605762</v>
      </c>
      <c r="V15" s="45">
        <v>0.20065438338467229</v>
      </c>
      <c r="W15" s="45">
        <v>0.19892150028475572</v>
      </c>
      <c r="X15" s="45">
        <v>0.1971755587428797</v>
      </c>
      <c r="Y15" s="45">
        <v>0.19541653154758815</v>
      </c>
    </row>
    <row r="16" spans="1:25" ht="18" customHeight="1" x14ac:dyDescent="0.25">
      <c r="A16" s="16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8" customHeight="1" x14ac:dyDescent="0.25">
      <c r="A17" s="16" t="s">
        <v>57</v>
      </c>
      <c r="B17" s="9">
        <v>76</v>
      </c>
      <c r="C17" s="9">
        <v>76.75</v>
      </c>
      <c r="D17" s="9">
        <v>77.5</v>
      </c>
      <c r="E17" s="9">
        <v>78.25</v>
      </c>
      <c r="F17" s="9">
        <v>79</v>
      </c>
      <c r="G17" s="9">
        <v>79.75</v>
      </c>
      <c r="H17" s="9">
        <v>80.5</v>
      </c>
      <c r="I17" s="9">
        <v>81.25</v>
      </c>
      <c r="J17" s="9">
        <v>82</v>
      </c>
      <c r="K17" s="9">
        <v>82.75</v>
      </c>
      <c r="L17" s="9">
        <v>83.5</v>
      </c>
      <c r="M17" s="9">
        <v>84.25</v>
      </c>
      <c r="N17" s="9">
        <v>78</v>
      </c>
      <c r="O17" s="9">
        <v>78</v>
      </c>
      <c r="P17" s="9">
        <v>78</v>
      </c>
      <c r="Q17" s="9">
        <v>78</v>
      </c>
      <c r="R17" s="9">
        <v>78</v>
      </c>
      <c r="S17" s="9">
        <v>78</v>
      </c>
      <c r="T17" s="9">
        <v>78</v>
      </c>
      <c r="U17" s="9">
        <v>78</v>
      </c>
      <c r="V17" s="9">
        <v>78</v>
      </c>
      <c r="W17" s="9">
        <v>78</v>
      </c>
      <c r="X17" s="9">
        <v>78</v>
      </c>
      <c r="Y17" s="9">
        <v>78</v>
      </c>
    </row>
    <row r="18" spans="1:25" ht="18" customHeight="1" x14ac:dyDescent="0.25">
      <c r="A18" s="16" t="s">
        <v>82</v>
      </c>
      <c r="B18" s="9">
        <v>548.62657700000022</v>
      </c>
      <c r="C18" s="9">
        <v>553.66994427100008</v>
      </c>
      <c r="D18" s="9">
        <v>558.66915121800025</v>
      </c>
      <c r="E18" s="9">
        <v>563.62348471699988</v>
      </c>
      <c r="F18" s="9">
        <v>568.53223164400026</v>
      </c>
      <c r="G18" s="9">
        <v>573.39467887500018</v>
      </c>
      <c r="H18" s="9">
        <v>578.21011328599991</v>
      </c>
      <c r="I18" s="9">
        <v>582.97782175299994</v>
      </c>
      <c r="J18" s="9">
        <v>587.69709115199998</v>
      </c>
      <c r="K18" s="9">
        <v>598.16412973400065</v>
      </c>
      <c r="L18" s="9">
        <v>602.77681150000012</v>
      </c>
      <c r="M18" s="9">
        <v>607.3387933259994</v>
      </c>
      <c r="N18" s="9">
        <v>646.30145441747334</v>
      </c>
      <c r="O18" s="9">
        <v>647.98656589280017</v>
      </c>
      <c r="P18" s="9">
        <v>649.59271140338501</v>
      </c>
      <c r="Q18" s="9">
        <v>651.11754819089913</v>
      </c>
      <c r="R18" s="9">
        <v>652.55868445658234</v>
      </c>
      <c r="S18" s="9">
        <v>653.91367844029594</v>
      </c>
      <c r="T18" s="9">
        <v>655.18003748303386</v>
      </c>
      <c r="U18" s="9">
        <v>656.35521707260341</v>
      </c>
      <c r="V18" s="9">
        <v>657.4366198721882</v>
      </c>
      <c r="W18" s="9">
        <v>658.42159473147706</v>
      </c>
      <c r="X18" s="9">
        <v>659.30743568006903</v>
      </c>
      <c r="Y18" s="9">
        <v>660.09138090282261</v>
      </c>
    </row>
    <row r="19" spans="1:25" ht="18" customHeight="1" x14ac:dyDescent="0.25">
      <c r="A19" s="16" t="s">
        <v>83</v>
      </c>
      <c r="B19" s="9">
        <v>45</v>
      </c>
      <c r="C19" s="9">
        <v>45</v>
      </c>
      <c r="D19" s="9">
        <v>45</v>
      </c>
      <c r="E19" s="9">
        <v>45</v>
      </c>
      <c r="F19" s="9">
        <v>45</v>
      </c>
      <c r="G19" s="9">
        <v>45</v>
      </c>
      <c r="H19" s="9">
        <v>45</v>
      </c>
      <c r="I19" s="9">
        <v>45</v>
      </c>
      <c r="J19" s="9">
        <v>45</v>
      </c>
      <c r="K19" s="9">
        <v>45</v>
      </c>
      <c r="L19" s="9">
        <v>45</v>
      </c>
      <c r="M19" s="9">
        <v>45</v>
      </c>
      <c r="N19" s="9">
        <v>45</v>
      </c>
      <c r="O19" s="9">
        <v>45</v>
      </c>
      <c r="P19" s="9">
        <v>45</v>
      </c>
      <c r="Q19" s="9">
        <v>45</v>
      </c>
      <c r="R19" s="9">
        <v>45</v>
      </c>
      <c r="S19" s="9">
        <v>45</v>
      </c>
      <c r="T19" s="9">
        <v>45</v>
      </c>
      <c r="U19" s="9">
        <v>45</v>
      </c>
      <c r="V19" s="9">
        <v>45</v>
      </c>
      <c r="W19" s="9">
        <v>45</v>
      </c>
      <c r="X19" s="9">
        <v>45</v>
      </c>
      <c r="Y19" s="9">
        <v>45</v>
      </c>
    </row>
    <row r="20" spans="1:25" ht="18" customHeight="1" x14ac:dyDescent="0.25">
      <c r="A20" s="16" t="s">
        <v>84</v>
      </c>
      <c r="B20" s="9">
        <v>503.62657700000022</v>
      </c>
      <c r="C20" s="9">
        <v>508.66994427100008</v>
      </c>
      <c r="D20" s="9">
        <v>513.66915121800025</v>
      </c>
      <c r="E20" s="9">
        <v>518.62348471699988</v>
      </c>
      <c r="F20" s="9">
        <v>523.53223164400026</v>
      </c>
      <c r="G20" s="9">
        <v>528.39467887500018</v>
      </c>
      <c r="H20" s="9">
        <v>533.21011328599991</v>
      </c>
      <c r="I20" s="9">
        <v>537.97782175299994</v>
      </c>
      <c r="J20" s="9">
        <v>542.69709115199998</v>
      </c>
      <c r="K20" s="9">
        <v>553.16412973400065</v>
      </c>
      <c r="L20" s="9">
        <v>557.77681150000012</v>
      </c>
      <c r="M20" s="9">
        <v>562.3387933259994</v>
      </c>
      <c r="N20" s="9">
        <v>601.30145441747334</v>
      </c>
      <c r="O20" s="9">
        <v>602.98656589280017</v>
      </c>
      <c r="P20" s="9">
        <v>604.59271140338501</v>
      </c>
      <c r="Q20" s="9">
        <v>606.11754819089913</v>
      </c>
      <c r="R20" s="9">
        <v>607.55868445658234</v>
      </c>
      <c r="S20" s="9">
        <v>608.91367844029594</v>
      </c>
      <c r="T20" s="9">
        <v>610.18003748303386</v>
      </c>
      <c r="U20" s="9">
        <v>611.35521707260341</v>
      </c>
      <c r="V20" s="9">
        <v>612.4366198721882</v>
      </c>
      <c r="W20" s="9">
        <v>613.42159473147706</v>
      </c>
      <c r="X20" s="9">
        <v>614.30743568006903</v>
      </c>
      <c r="Y20" s="9">
        <v>615.09138090282261</v>
      </c>
    </row>
    <row r="21" spans="1:25" ht="18" customHeight="1" x14ac:dyDescent="0.25">
      <c r="A21" s="16" t="s">
        <v>85</v>
      </c>
      <c r="B21" s="9">
        <v>100.72531540000006</v>
      </c>
      <c r="C21" s="9">
        <v>101.73398885420002</v>
      </c>
      <c r="D21" s="9">
        <v>102.73383024360005</v>
      </c>
      <c r="E21" s="9">
        <v>103.72469694339998</v>
      </c>
      <c r="F21" s="9">
        <v>104.70644632880006</v>
      </c>
      <c r="G21" s="9">
        <v>105.67893577500004</v>
      </c>
      <c r="H21" s="9">
        <v>106.64202265719999</v>
      </c>
      <c r="I21" s="9">
        <v>107.5955643506</v>
      </c>
      <c r="J21" s="9">
        <v>108.5394182304</v>
      </c>
      <c r="K21" s="9">
        <v>110.63282594680014</v>
      </c>
      <c r="L21" s="9">
        <v>111.55536230000003</v>
      </c>
      <c r="M21" s="9">
        <v>112.46775866519988</v>
      </c>
      <c r="N21" s="9">
        <v>120.26029088349468</v>
      </c>
      <c r="O21" s="9">
        <v>120.59731317856004</v>
      </c>
      <c r="P21" s="9">
        <v>120.918542280677</v>
      </c>
      <c r="Q21" s="9">
        <v>121.22350963817983</v>
      </c>
      <c r="R21" s="9">
        <v>121.51173689131647</v>
      </c>
      <c r="S21" s="9">
        <v>121.78273568805919</v>
      </c>
      <c r="T21" s="9">
        <v>122.03600749660677</v>
      </c>
      <c r="U21" s="9">
        <v>122.27104341452069</v>
      </c>
      <c r="V21" s="9">
        <v>122.48732397443764</v>
      </c>
      <c r="W21" s="9">
        <v>122.68431894629542</v>
      </c>
      <c r="X21" s="9">
        <v>122.86148713601381</v>
      </c>
      <c r="Y21" s="9">
        <v>123.01827618056453</v>
      </c>
    </row>
    <row r="22" spans="1:25" ht="18" customHeight="1" x14ac:dyDescent="0.25">
      <c r="A22" s="34" t="s">
        <v>86</v>
      </c>
      <c r="B22" s="46">
        <v>402.90126160000017</v>
      </c>
      <c r="C22" s="46">
        <v>406.93595541680008</v>
      </c>
      <c r="D22" s="46">
        <v>410.93532097440021</v>
      </c>
      <c r="E22" s="46">
        <v>414.89878777359991</v>
      </c>
      <c r="F22" s="46">
        <v>418.82578531520022</v>
      </c>
      <c r="G22" s="46">
        <v>422.71574310000017</v>
      </c>
      <c r="H22" s="46">
        <v>426.56809062879995</v>
      </c>
      <c r="I22" s="46">
        <v>430.38225740239994</v>
      </c>
      <c r="J22" s="46">
        <v>434.15767292160001</v>
      </c>
      <c r="K22" s="46">
        <v>442.5313037872005</v>
      </c>
      <c r="L22" s="46">
        <v>446.22144920000011</v>
      </c>
      <c r="M22" s="46">
        <v>449.87103466079952</v>
      </c>
      <c r="N22" s="46">
        <v>481.04116353397865</v>
      </c>
      <c r="O22" s="46">
        <v>482.38925271424011</v>
      </c>
      <c r="P22" s="46">
        <v>483.67416912270801</v>
      </c>
      <c r="Q22" s="46">
        <v>484.89403855271928</v>
      </c>
      <c r="R22" s="46">
        <v>486.0469475652659</v>
      </c>
      <c r="S22" s="46">
        <v>487.13094275223676</v>
      </c>
      <c r="T22" s="46">
        <v>488.14402998642709</v>
      </c>
      <c r="U22" s="46">
        <v>489.0841736580827</v>
      </c>
      <c r="V22" s="46">
        <v>489.94929589775057</v>
      </c>
      <c r="W22" s="46">
        <v>490.73727578518162</v>
      </c>
      <c r="X22" s="46">
        <v>491.44594854405523</v>
      </c>
      <c r="Y22" s="46">
        <v>492.07310472225811</v>
      </c>
    </row>
    <row r="23" spans="1:25" x14ac:dyDescent="0.25">
      <c r="A23" s="37"/>
    </row>
    <row r="24" spans="1:25" x14ac:dyDescent="0.25">
      <c r="A24" s="37"/>
    </row>
    <row r="25" spans="1:25" x14ac:dyDescent="0.25">
      <c r="A25" s="37"/>
    </row>
    <row r="26" spans="1:25" x14ac:dyDescent="0.25">
      <c r="A26" s="37"/>
    </row>
    <row r="27" spans="1:25" x14ac:dyDescent="0.25">
      <c r="A27" s="37"/>
    </row>
    <row r="28" spans="1:25" x14ac:dyDescent="0.25">
      <c r="A28" s="37"/>
    </row>
    <row r="29" spans="1:25" x14ac:dyDescent="0.25">
      <c r="A29" s="37"/>
    </row>
    <row r="30" spans="1:25" x14ac:dyDescent="0.25">
      <c r="A30" s="37"/>
    </row>
  </sheetData>
  <mergeCells count="1">
    <mergeCell ref="A1:Y1"/>
  </mergeCells>
  <conditionalFormatting sqref="B14:Y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{9ADDCBC5-7E96-45D8-8D84-C21D134F3092}</x14:id>
        </ext>
      </extLst>
    </cfRule>
  </conditionalFormatting>
  <conditionalFormatting sqref="B15:Y15">
    <cfRule type="colorScale" priority="2">
      <colorScale>
        <cfvo type="min"/>
        <cfvo type="num" val="0.18"/>
        <cfvo type="max"/>
        <color rgb="FFF8D7DA"/>
        <color rgb="FFFFF2CC"/>
        <color rgb="FFDDEFE8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DDCBC5-7E96-45D8-8D84-C21D134F3092}">
            <x14:dataBar minLength="0" maxLength="100" negativeBarColorSameAsPositive="1" axisPosition="none">
              <x14:cfvo type="min"/>
              <x14:cfvo type="max"/>
            </x14:dataBar>
          </x14:cfRule>
          <xm:sqref>B14:Y14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6A3B6-D809-460C-AE50-B3A180BD5893}">
  <dimension ref="A1:Y30"/>
  <sheetViews>
    <sheetView workbookViewId="0">
      <pane ySplit="4" topLeftCell="A5" activePane="bottomLeft" state="frozen"/>
      <selection pane="bottomLeft" activeCell="E13" sqref="E13"/>
    </sheetView>
  </sheetViews>
  <sheetFormatPr defaultRowHeight="15" x14ac:dyDescent="0.25"/>
  <cols>
    <col min="1" max="1" width="27.5703125" customWidth="1"/>
    <col min="2" max="25" width="13.7109375" customWidth="1"/>
  </cols>
  <sheetData>
    <row r="1" spans="1:25" s="12" customFormat="1" ht="32.1" customHeight="1" x14ac:dyDescent="0.35">
      <c r="A1" s="11" t="s">
        <v>87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18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8" customHeight="1" x14ac:dyDescent="0.25">
      <c r="A3" s="35" t="s">
        <v>62</v>
      </c>
      <c r="B3" s="36">
        <v>46053</v>
      </c>
      <c r="C3" s="36">
        <v>46081</v>
      </c>
      <c r="D3" s="36">
        <v>46112</v>
      </c>
      <c r="E3" s="36">
        <v>46142</v>
      </c>
      <c r="F3" s="36">
        <v>46173</v>
      </c>
      <c r="G3" s="36">
        <v>46203</v>
      </c>
      <c r="H3" s="47">
        <v>46234</v>
      </c>
      <c r="I3" s="47">
        <v>46265</v>
      </c>
      <c r="J3" s="47">
        <v>46295</v>
      </c>
      <c r="K3" s="47">
        <v>46326</v>
      </c>
      <c r="L3" s="47">
        <v>46356</v>
      </c>
      <c r="M3" s="47">
        <v>46387</v>
      </c>
      <c r="N3" s="47">
        <v>46418</v>
      </c>
      <c r="O3" s="47">
        <v>46446</v>
      </c>
      <c r="P3" s="47">
        <v>46477</v>
      </c>
      <c r="Q3" s="47">
        <v>46507</v>
      </c>
      <c r="R3" s="47">
        <v>46538</v>
      </c>
      <c r="S3" s="47">
        <v>46568</v>
      </c>
      <c r="T3" s="47">
        <v>46599</v>
      </c>
      <c r="U3" s="47">
        <v>46630</v>
      </c>
      <c r="V3" s="47">
        <v>46660</v>
      </c>
      <c r="W3" s="47">
        <v>46691</v>
      </c>
      <c r="X3" s="47">
        <v>46721</v>
      </c>
      <c r="Y3" s="47">
        <v>46752</v>
      </c>
    </row>
    <row r="4" spans="1:25" ht="18" customHeight="1" x14ac:dyDescent="0.25">
      <c r="A4" s="35"/>
      <c r="B4" s="35"/>
      <c r="C4" s="35"/>
      <c r="D4" s="35"/>
      <c r="E4" s="35"/>
      <c r="F4" s="35"/>
      <c r="G4" s="35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 ht="18" customHeight="1" x14ac:dyDescent="0.25">
      <c r="A5" s="16" t="s">
        <v>80</v>
      </c>
      <c r="B5" s="9">
        <v>624.62657700000022</v>
      </c>
      <c r="C5" s="9">
        <v>630.41994427100008</v>
      </c>
      <c r="D5" s="9">
        <v>636.16915121800025</v>
      </c>
      <c r="E5" s="9">
        <v>641.87348471699988</v>
      </c>
      <c r="F5" s="9">
        <v>647.53223164400026</v>
      </c>
      <c r="G5" s="9">
        <v>653.14467887500018</v>
      </c>
      <c r="H5" s="9">
        <v>658.71011328599991</v>
      </c>
      <c r="I5" s="9">
        <v>664.22782175299994</v>
      </c>
      <c r="J5" s="9">
        <v>669.69709115199998</v>
      </c>
      <c r="K5" s="9">
        <v>680.91412973400065</v>
      </c>
      <c r="L5" s="9">
        <v>686.27681150000012</v>
      </c>
      <c r="M5" s="9">
        <v>691.5887933259994</v>
      </c>
      <c r="N5" s="9">
        <v>724.30145441747334</v>
      </c>
      <c r="O5" s="9">
        <v>725.98656589280017</v>
      </c>
      <c r="P5" s="9">
        <v>727.59271140338501</v>
      </c>
      <c r="Q5" s="9">
        <v>729.11754819089913</v>
      </c>
      <c r="R5" s="9">
        <v>730.55868445658234</v>
      </c>
      <c r="S5" s="9">
        <v>731.91367844029594</v>
      </c>
      <c r="T5" s="9">
        <v>733.18003748303386</v>
      </c>
      <c r="U5" s="9">
        <v>734.35521707260341</v>
      </c>
      <c r="V5" s="9">
        <v>735.4366198721882</v>
      </c>
      <c r="W5" s="9">
        <v>736.42159473147706</v>
      </c>
      <c r="X5" s="9">
        <v>737.30743568006903</v>
      </c>
      <c r="Y5" s="9">
        <v>738.09138090282261</v>
      </c>
    </row>
    <row r="6" spans="1:25" ht="18" customHeight="1" x14ac:dyDescent="0.25">
      <c r="A6" s="16" t="s">
        <v>88</v>
      </c>
      <c r="B6" s="9">
        <v>100.72531540000006</v>
      </c>
      <c r="C6" s="9">
        <v>101.73398885420002</v>
      </c>
      <c r="D6" s="9">
        <v>102.73383024360005</v>
      </c>
      <c r="E6" s="9">
        <v>103.72469694339998</v>
      </c>
      <c r="F6" s="9">
        <v>104.70644632880006</v>
      </c>
      <c r="G6" s="9">
        <v>105.67893577500004</v>
      </c>
      <c r="H6" s="9">
        <v>106.64202265719999</v>
      </c>
      <c r="I6" s="9">
        <v>107.5955643506</v>
      </c>
      <c r="J6" s="9">
        <v>108.5394182304</v>
      </c>
      <c r="K6" s="9">
        <v>110.63282594680014</v>
      </c>
      <c r="L6" s="9">
        <v>111.55536230000003</v>
      </c>
      <c r="M6" s="9">
        <v>112.46775866519988</v>
      </c>
      <c r="N6" s="9">
        <v>120.26029088349468</v>
      </c>
      <c r="O6" s="9">
        <v>120.59731317856004</v>
      </c>
      <c r="P6" s="9">
        <v>120.918542280677</v>
      </c>
      <c r="Q6" s="9">
        <v>121.22350963817983</v>
      </c>
      <c r="R6" s="9">
        <v>121.51173689131647</v>
      </c>
      <c r="S6" s="9">
        <v>121.78273568805919</v>
      </c>
      <c r="T6" s="9">
        <v>122.03600749660677</v>
      </c>
      <c r="U6" s="9">
        <v>122.27104341452069</v>
      </c>
      <c r="V6" s="9">
        <v>122.48732397443764</v>
      </c>
      <c r="W6" s="9">
        <v>122.68431894629542</v>
      </c>
      <c r="X6" s="9">
        <v>122.86148713601381</v>
      </c>
      <c r="Y6" s="9">
        <v>123.01827618056453</v>
      </c>
    </row>
    <row r="7" spans="1:25" ht="18" customHeight="1" x14ac:dyDescent="0.25">
      <c r="A7" s="16" t="s">
        <v>58</v>
      </c>
      <c r="B7" s="9">
        <v>112</v>
      </c>
      <c r="C7" s="9">
        <v>115.1</v>
      </c>
      <c r="D7" s="9">
        <v>118.2</v>
      </c>
      <c r="E7" s="9">
        <v>121.3</v>
      </c>
      <c r="F7" s="9">
        <v>124.4</v>
      </c>
      <c r="G7" s="9">
        <v>127.5</v>
      </c>
      <c r="H7" s="9">
        <v>130.6</v>
      </c>
      <c r="I7" s="9">
        <v>133.69999999999999</v>
      </c>
      <c r="J7" s="9">
        <v>136.80000000000001</v>
      </c>
      <c r="K7" s="9">
        <v>139.9</v>
      </c>
      <c r="L7" s="9">
        <v>143</v>
      </c>
      <c r="M7" s="9">
        <v>146.1</v>
      </c>
      <c r="N7" s="9">
        <v>135.35147662853203</v>
      </c>
      <c r="O7" s="9">
        <v>136.70700356908455</v>
      </c>
      <c r="P7" s="9">
        <v>138.07691707871555</v>
      </c>
      <c r="Q7" s="9">
        <v>139.46137765792488</v>
      </c>
      <c r="R7" s="9">
        <v>140.86054767279759</v>
      </c>
      <c r="S7" s="9">
        <v>142.27459137742068</v>
      </c>
      <c r="T7" s="9">
        <v>143.70367493657642</v>
      </c>
      <c r="U7" s="9">
        <v>145.14796644871581</v>
      </c>
      <c r="V7" s="9">
        <v>146.60763596921595</v>
      </c>
      <c r="W7" s="9">
        <v>148.08285553392491</v>
      </c>
      <c r="X7" s="9">
        <v>149.57379918299722</v>
      </c>
      <c r="Y7" s="9">
        <v>151.08064298502433</v>
      </c>
    </row>
    <row r="8" spans="1:25" ht="18" customHeight="1" x14ac:dyDescent="0.25">
      <c r="A8" s="1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8" customHeight="1" x14ac:dyDescent="0.25">
      <c r="A9" s="16" t="s">
        <v>89</v>
      </c>
      <c r="B9" s="9">
        <v>3373.5339166666668</v>
      </c>
      <c r="C9" s="9">
        <v>3419.3438299999998</v>
      </c>
      <c r="D9" s="9">
        <v>3465.3591700000006</v>
      </c>
      <c r="E9" s="9">
        <v>3511.5799366666665</v>
      </c>
      <c r="F9" s="9">
        <v>3558.0061300000002</v>
      </c>
      <c r="G9" s="9">
        <v>3604.6377499999999</v>
      </c>
      <c r="H9" s="9">
        <v>3651.4747966666664</v>
      </c>
      <c r="I9" s="9">
        <v>3698.5172700000003</v>
      </c>
      <c r="J9" s="9">
        <v>3745.7651700000001</v>
      </c>
      <c r="K9" s="9">
        <v>3813.0022466666669</v>
      </c>
      <c r="L9" s="9">
        <v>3860.7134999999998</v>
      </c>
      <c r="M9" s="9">
        <v>3908.6301799999997</v>
      </c>
      <c r="N9" s="9">
        <v>3947.7514016655177</v>
      </c>
      <c r="O9" s="9">
        <v>3987.2876040982997</v>
      </c>
      <c r="P9" s="9">
        <v>4027.2434147958706</v>
      </c>
      <c r="Q9" s="9">
        <v>4067.6235150228094</v>
      </c>
      <c r="R9" s="9">
        <v>4108.4326404565963</v>
      </c>
      <c r="S9" s="9">
        <v>4149.6755818414367</v>
      </c>
      <c r="T9" s="9">
        <v>4191.3571856501458</v>
      </c>
      <c r="U9" s="9">
        <v>4233.482354754211</v>
      </c>
      <c r="V9" s="9">
        <v>4276.0560491021324</v>
      </c>
      <c r="W9" s="9">
        <v>4319.0832864061431</v>
      </c>
      <c r="X9" s="9">
        <v>4362.5691428374193</v>
      </c>
      <c r="Y9" s="9">
        <v>4406.5187537298752</v>
      </c>
    </row>
    <row r="10" spans="1:25" ht="18" customHeight="1" x14ac:dyDescent="0.25">
      <c r="A10" s="16" t="s">
        <v>90</v>
      </c>
      <c r="B10" s="9">
        <v>2554.7290417499999</v>
      </c>
      <c r="C10" s="9">
        <v>2594.256163821</v>
      </c>
      <c r="D10" s="9">
        <v>2634.0690102480003</v>
      </c>
      <c r="E10" s="9">
        <v>2674.1684526270001</v>
      </c>
      <c r="F10" s="9">
        <v>2714.5553625539997</v>
      </c>
      <c r="G10" s="9">
        <v>2755.2306116249997</v>
      </c>
      <c r="H10" s="9">
        <v>2796.195071436</v>
      </c>
      <c r="I10" s="9">
        <v>2837.4496135830004</v>
      </c>
      <c r="J10" s="9">
        <v>2878.9951096619998</v>
      </c>
      <c r="K10" s="9">
        <v>2936.066201394</v>
      </c>
      <c r="L10" s="9">
        <v>2978.2646999999997</v>
      </c>
      <c r="M10" s="9">
        <v>3020.7569158260003</v>
      </c>
      <c r="N10" s="9">
        <v>3014.7996195295441</v>
      </c>
      <c r="O10" s="9">
        <v>3057.1283703043637</v>
      </c>
      <c r="P10" s="9">
        <v>3100.069478826591</v>
      </c>
      <c r="Q10" s="9">
        <v>3143.6320554934509</v>
      </c>
      <c r="R10" s="9">
        <v>3187.8253497334672</v>
      </c>
      <c r="S10" s="9">
        <v>3232.6587521766696</v>
      </c>
      <c r="T10" s="9">
        <v>3278.1417968593528</v>
      </c>
      <c r="U10" s="9">
        <v>3324.2841634639526</v>
      </c>
      <c r="V10" s="9">
        <v>3371.0956795946049</v>
      </c>
      <c r="W10" s="9">
        <v>3418.5863230889681</v>
      </c>
      <c r="X10" s="9">
        <v>3466.7662243668888</v>
      </c>
      <c r="Y10" s="9">
        <v>3515.6456688165199</v>
      </c>
    </row>
    <row r="11" spans="1:25" ht="18" customHeight="1" x14ac:dyDescent="0.25">
      <c r="A11" s="16" t="s">
        <v>91</v>
      </c>
      <c r="B11" s="9">
        <v>1703.1526944999998</v>
      </c>
      <c r="C11" s="9">
        <v>1729.504109214</v>
      </c>
      <c r="D11" s="9">
        <v>1756.0460068320001</v>
      </c>
      <c r="E11" s="9">
        <v>1782.778968418</v>
      </c>
      <c r="F11" s="9">
        <v>1809.7035750359998</v>
      </c>
      <c r="G11" s="9">
        <v>1836.8204077499997</v>
      </c>
      <c r="H11" s="9">
        <v>1864.1300476240001</v>
      </c>
      <c r="I11" s="9">
        <v>1891.6330757220003</v>
      </c>
      <c r="J11" s="9">
        <v>1919.3300731079999</v>
      </c>
      <c r="K11" s="9">
        <v>1957.3774675959999</v>
      </c>
      <c r="L11" s="9">
        <v>1985.5097999999996</v>
      </c>
      <c r="M11" s="9">
        <v>2013.8379438840002</v>
      </c>
      <c r="N11" s="9">
        <v>2009.8664130196962</v>
      </c>
      <c r="O11" s="9">
        <v>2038.0855802029091</v>
      </c>
      <c r="P11" s="9">
        <v>2066.7129858843937</v>
      </c>
      <c r="Q11" s="9">
        <v>2095.7547036623005</v>
      </c>
      <c r="R11" s="9">
        <v>2125.2168998223115</v>
      </c>
      <c r="S11" s="9">
        <v>2155.1058347844464</v>
      </c>
      <c r="T11" s="9">
        <v>2185.4278645729019</v>
      </c>
      <c r="U11" s="9">
        <v>2216.1894423093017</v>
      </c>
      <c r="V11" s="9">
        <v>2247.3971197297365</v>
      </c>
      <c r="W11" s="9">
        <v>2279.0575487259789</v>
      </c>
      <c r="X11" s="9">
        <v>2311.1774829112592</v>
      </c>
      <c r="Y11" s="9">
        <v>2343.7637792110136</v>
      </c>
    </row>
    <row r="12" spans="1:25" ht="18" customHeight="1" x14ac:dyDescent="0.25">
      <c r="A12" s="16" t="s">
        <v>92</v>
      </c>
      <c r="B12" s="9">
        <v>4225.1102639166666</v>
      </c>
      <c r="C12" s="9">
        <v>4284.0958846069998</v>
      </c>
      <c r="D12" s="9">
        <v>4343.382173416001</v>
      </c>
      <c r="E12" s="9">
        <v>4402.9694208756673</v>
      </c>
      <c r="F12" s="9">
        <v>4462.8579175179993</v>
      </c>
      <c r="G12" s="9">
        <v>4523.0479538750005</v>
      </c>
      <c r="H12" s="9">
        <v>4583.5398204786661</v>
      </c>
      <c r="I12" s="9">
        <v>4644.3338078610004</v>
      </c>
      <c r="J12" s="9">
        <v>4705.4302065539996</v>
      </c>
      <c r="K12" s="9">
        <v>4791.6909804646675</v>
      </c>
      <c r="L12" s="9">
        <v>4853.4683999999997</v>
      </c>
      <c r="M12" s="9">
        <v>4915.5491519419993</v>
      </c>
      <c r="N12" s="9">
        <v>4952.6846081753665</v>
      </c>
      <c r="O12" s="9">
        <v>5006.3303941997547</v>
      </c>
      <c r="P12" s="9">
        <v>5060.5999077380684</v>
      </c>
      <c r="Q12" s="9">
        <v>5115.5008668539595</v>
      </c>
      <c r="R12" s="9">
        <v>5171.0410903677521</v>
      </c>
      <c r="S12" s="9">
        <v>5227.2284992336599</v>
      </c>
      <c r="T12" s="9">
        <v>5284.0711179365962</v>
      </c>
      <c r="U12" s="9">
        <v>5341.5770759088618</v>
      </c>
      <c r="V12" s="9">
        <v>5399.7546089670013</v>
      </c>
      <c r="W12" s="9">
        <v>5458.6120607691319</v>
      </c>
      <c r="X12" s="9">
        <v>5518.1578842930494</v>
      </c>
      <c r="Y12" s="9">
        <v>5578.4006433353816</v>
      </c>
    </row>
    <row r="13" spans="1:25" ht="18" customHeight="1" x14ac:dyDescent="0.25">
      <c r="A13" s="16" t="s">
        <v>93</v>
      </c>
      <c r="B13" s="9">
        <v>25.110263916666554</v>
      </c>
      <c r="C13" s="9">
        <v>58.985620690333235</v>
      </c>
      <c r="D13" s="9">
        <v>59.286288809001235</v>
      </c>
      <c r="E13" s="9">
        <v>59.587247459666287</v>
      </c>
      <c r="F13" s="9">
        <v>59.888496642332029</v>
      </c>
      <c r="G13" s="9">
        <v>60.19003635700119</v>
      </c>
      <c r="H13" s="9">
        <v>60.491866603665585</v>
      </c>
      <c r="I13" s="9">
        <v>60.793987382334308</v>
      </c>
      <c r="J13" s="9">
        <v>61.096398692999173</v>
      </c>
      <c r="K13" s="9">
        <v>86.260773910667922</v>
      </c>
      <c r="L13" s="9">
        <v>61.777419535332228</v>
      </c>
      <c r="M13" s="9">
        <v>62.080751941999551</v>
      </c>
      <c r="N13" s="9">
        <v>37.135456233367222</v>
      </c>
      <c r="O13" s="9">
        <v>53.645786024388144</v>
      </c>
      <c r="P13" s="9">
        <v>54.269513538313731</v>
      </c>
      <c r="Q13" s="9">
        <v>54.900959115891055</v>
      </c>
      <c r="R13" s="9">
        <v>55.540223513792625</v>
      </c>
      <c r="S13" s="9">
        <v>56.187408865907855</v>
      </c>
      <c r="T13" s="9">
        <v>56.842618702936306</v>
      </c>
      <c r="U13" s="9">
        <v>57.505957972265605</v>
      </c>
      <c r="V13" s="9">
        <v>58.177533058139488</v>
      </c>
      <c r="W13" s="9">
        <v>58.857451802130527</v>
      </c>
      <c r="X13" s="9">
        <v>59.545823523917534</v>
      </c>
      <c r="Y13" s="9">
        <v>60.242759042332182</v>
      </c>
    </row>
    <row r="14" spans="1:25" ht="18" customHeight="1" x14ac:dyDescent="0.25">
      <c r="A14" s="16" t="s">
        <v>83</v>
      </c>
      <c r="B14" s="9">
        <v>45</v>
      </c>
      <c r="C14" s="9">
        <v>45</v>
      </c>
      <c r="D14" s="9">
        <v>45</v>
      </c>
      <c r="E14" s="9">
        <v>45</v>
      </c>
      <c r="F14" s="9">
        <v>45</v>
      </c>
      <c r="G14" s="9">
        <v>45</v>
      </c>
      <c r="H14" s="9">
        <v>45</v>
      </c>
      <c r="I14" s="9">
        <v>45</v>
      </c>
      <c r="J14" s="9">
        <v>45</v>
      </c>
      <c r="K14" s="9">
        <v>45</v>
      </c>
      <c r="L14" s="9">
        <v>45</v>
      </c>
      <c r="M14" s="9">
        <v>45</v>
      </c>
      <c r="N14" s="9">
        <v>45</v>
      </c>
      <c r="O14" s="9">
        <v>45</v>
      </c>
      <c r="P14" s="9">
        <v>45</v>
      </c>
      <c r="Q14" s="9">
        <v>45</v>
      </c>
      <c r="R14" s="9">
        <v>45</v>
      </c>
      <c r="S14" s="9">
        <v>45</v>
      </c>
      <c r="T14" s="9">
        <v>45</v>
      </c>
      <c r="U14" s="9">
        <v>45</v>
      </c>
      <c r="V14" s="9">
        <v>45</v>
      </c>
      <c r="W14" s="9">
        <v>45</v>
      </c>
      <c r="X14" s="9">
        <v>45</v>
      </c>
      <c r="Y14" s="9">
        <v>45</v>
      </c>
    </row>
    <row r="15" spans="1:25" ht="18" customHeight="1" x14ac:dyDescent="0.25">
      <c r="A15" s="43" t="s">
        <v>94</v>
      </c>
      <c r="B15" s="44">
        <v>341.79099768333367</v>
      </c>
      <c r="C15" s="44">
        <v>309.60033472646683</v>
      </c>
      <c r="D15" s="44">
        <v>310.94903216539893</v>
      </c>
      <c r="E15" s="44">
        <v>312.26154031393361</v>
      </c>
      <c r="F15" s="44">
        <v>313.53728867286816</v>
      </c>
      <c r="G15" s="44">
        <v>314.77570674299898</v>
      </c>
      <c r="H15" s="44">
        <v>315.97622402513434</v>
      </c>
      <c r="I15" s="44">
        <v>317.1382700200657</v>
      </c>
      <c r="J15" s="44">
        <v>318.26127422860083</v>
      </c>
      <c r="K15" s="44">
        <v>299.1205298765326</v>
      </c>
      <c r="L15" s="44">
        <v>324.94402966466782</v>
      </c>
      <c r="M15" s="44">
        <v>325.94028271879995</v>
      </c>
      <c r="N15" s="44">
        <v>386.55423067207937</v>
      </c>
      <c r="O15" s="44">
        <v>370.03646312076739</v>
      </c>
      <c r="P15" s="44">
        <v>369.32773850567872</v>
      </c>
      <c r="Q15" s="44">
        <v>368.53170177890331</v>
      </c>
      <c r="R15" s="44">
        <v>367.6461763786757</v>
      </c>
      <c r="S15" s="44">
        <v>366.66894250890817</v>
      </c>
      <c r="T15" s="44">
        <v>365.59773634691436</v>
      </c>
      <c r="U15" s="44">
        <v>364.43024923710129</v>
      </c>
      <c r="V15" s="44">
        <v>363.16412687039508</v>
      </c>
      <c r="W15" s="44">
        <v>361.79696844912621</v>
      </c>
      <c r="X15" s="44">
        <v>360.32632583714047</v>
      </c>
      <c r="Y15" s="44">
        <v>358.7497026949016</v>
      </c>
    </row>
    <row r="16" spans="1:25" ht="18" customHeight="1" x14ac:dyDescent="0.25">
      <c r="A16" s="16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8" customHeight="1" x14ac:dyDescent="0.25">
      <c r="A17" s="16" t="s">
        <v>95</v>
      </c>
      <c r="B17" s="9">
        <v>1250</v>
      </c>
      <c r="C17" s="9">
        <v>1591.7909976833337</v>
      </c>
      <c r="D17" s="9">
        <v>1901.3913324098005</v>
      </c>
      <c r="E17" s="9">
        <v>2212.3403645751996</v>
      </c>
      <c r="F17" s="9">
        <v>2524.601904889133</v>
      </c>
      <c r="G17" s="9">
        <v>2838.1391935620013</v>
      </c>
      <c r="H17" s="9">
        <v>3152.9149003050002</v>
      </c>
      <c r="I17" s="9">
        <v>3468.8911243301345</v>
      </c>
      <c r="J17" s="9">
        <v>3786.0293943502002</v>
      </c>
      <c r="K17" s="9">
        <v>4104.2906685788012</v>
      </c>
      <c r="L17" s="9">
        <v>4403.4111984553338</v>
      </c>
      <c r="M17" s="9">
        <v>4728.3552281200018</v>
      </c>
      <c r="N17" s="9">
        <v>5054.2955108388014</v>
      </c>
      <c r="O17" s="9">
        <v>5440.8497415108804</v>
      </c>
      <c r="P17" s="9">
        <v>5810.8862046316481</v>
      </c>
      <c r="Q17" s="9">
        <v>6180.2139431373271</v>
      </c>
      <c r="R17" s="9">
        <v>6548.74564491623</v>
      </c>
      <c r="S17" s="9">
        <v>6916.3918212949056</v>
      </c>
      <c r="T17" s="9">
        <v>7283.0607638038136</v>
      </c>
      <c r="U17" s="9">
        <v>7648.6585001507283</v>
      </c>
      <c r="V17" s="9">
        <v>8013.0887493878299</v>
      </c>
      <c r="W17" s="9">
        <v>8376.2528762582242</v>
      </c>
      <c r="X17" s="9">
        <v>8738.0498447073496</v>
      </c>
      <c r="Y17" s="9">
        <v>9098.3761705444904</v>
      </c>
    </row>
    <row r="18" spans="1:25" ht="18" customHeight="1" x14ac:dyDescent="0.25">
      <c r="A18" s="38" t="s">
        <v>96</v>
      </c>
      <c r="B18" s="39">
        <v>1591.7909976833337</v>
      </c>
      <c r="C18" s="39">
        <v>1901.3913324098005</v>
      </c>
      <c r="D18" s="39">
        <v>2212.3403645751996</v>
      </c>
      <c r="E18" s="39">
        <v>2524.601904889133</v>
      </c>
      <c r="F18" s="39">
        <v>2838.1391935620013</v>
      </c>
      <c r="G18" s="39">
        <v>3152.9149003050002</v>
      </c>
      <c r="H18" s="39">
        <v>3468.8911243301345</v>
      </c>
      <c r="I18" s="39">
        <v>3786.0293943502002</v>
      </c>
      <c r="J18" s="39">
        <v>4104.2906685788012</v>
      </c>
      <c r="K18" s="39">
        <v>4403.4111984553338</v>
      </c>
      <c r="L18" s="39">
        <v>4728.3552281200018</v>
      </c>
      <c r="M18" s="39">
        <v>5054.2955108388014</v>
      </c>
      <c r="N18" s="39">
        <v>5440.8497415108804</v>
      </c>
      <c r="O18" s="39">
        <v>5810.8862046316481</v>
      </c>
      <c r="P18" s="39">
        <v>6180.2139431373271</v>
      </c>
      <c r="Q18" s="39">
        <v>6548.74564491623</v>
      </c>
      <c r="R18" s="39">
        <v>6916.3918212949056</v>
      </c>
      <c r="S18" s="39">
        <v>7283.0607638038136</v>
      </c>
      <c r="T18" s="39">
        <v>7648.6585001507283</v>
      </c>
      <c r="U18" s="39">
        <v>8013.0887493878299</v>
      </c>
      <c r="V18" s="39">
        <v>8376.2528762582242</v>
      </c>
      <c r="W18" s="39">
        <v>8738.0498447073496</v>
      </c>
      <c r="X18" s="39">
        <v>9098.3761705444904</v>
      </c>
      <c r="Y18" s="39">
        <v>9457.1258732393926</v>
      </c>
    </row>
    <row r="19" spans="1:25" x14ac:dyDescent="0.25">
      <c r="A19" s="37"/>
    </row>
    <row r="20" spans="1:25" x14ac:dyDescent="0.25">
      <c r="A20" s="37"/>
    </row>
    <row r="21" spans="1:25" x14ac:dyDescent="0.25">
      <c r="A21" s="37"/>
    </row>
    <row r="22" spans="1:25" x14ac:dyDescent="0.25">
      <c r="A22" s="37"/>
    </row>
    <row r="23" spans="1:25" x14ac:dyDescent="0.25">
      <c r="A23" s="37"/>
    </row>
    <row r="24" spans="1:25" x14ac:dyDescent="0.25">
      <c r="A24" s="37"/>
    </row>
    <row r="25" spans="1:25" x14ac:dyDescent="0.25">
      <c r="A25" s="37"/>
    </row>
    <row r="26" spans="1:25" x14ac:dyDescent="0.25">
      <c r="A26" s="37"/>
    </row>
    <row r="27" spans="1:25" x14ac:dyDescent="0.25">
      <c r="A27" s="37"/>
    </row>
    <row r="28" spans="1:25" x14ac:dyDescent="0.25">
      <c r="A28" s="37"/>
    </row>
    <row r="29" spans="1:25" x14ac:dyDescent="0.25">
      <c r="A29" s="37"/>
    </row>
    <row r="30" spans="1:25" x14ac:dyDescent="0.25">
      <c r="A30" s="37"/>
    </row>
  </sheetData>
  <mergeCells count="1">
    <mergeCell ref="A1:Y1"/>
  </mergeCells>
  <conditionalFormatting sqref="B15:Y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{8B285DC6-3300-44CA-9881-C66D7DC136DD}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285DC6-3300-44CA-9881-C66D7DC136DD}">
            <x14:dataBar minLength="0" maxLength="100" negativeBarColorSameAsPositive="1" axisPosition="none">
              <x14:cfvo type="min"/>
              <x14:cfvo type="max"/>
            </x14:dataBar>
          </x14:cfRule>
          <xm:sqref>B15:Y15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860B-FA86-4726-8ED8-54E169345B7F}">
  <dimension ref="A1:E25"/>
  <sheetViews>
    <sheetView workbookViewId="0"/>
  </sheetViews>
  <sheetFormatPr defaultRowHeight="15" x14ac:dyDescent="0.25"/>
  <sheetData>
    <row r="1" spans="1:5" x14ac:dyDescent="0.25">
      <c r="A1" t="s">
        <v>43</v>
      </c>
      <c r="B1" t="s">
        <v>77</v>
      </c>
      <c r="C1" t="s">
        <v>80</v>
      </c>
      <c r="D1" t="s">
        <v>81</v>
      </c>
      <c r="E1" t="s">
        <v>96</v>
      </c>
    </row>
    <row r="2" spans="1:5" x14ac:dyDescent="0.25">
      <c r="A2" s="1">
        <v>46053</v>
      </c>
      <c r="B2" s="3">
        <v>2891.6005</v>
      </c>
      <c r="C2" s="3">
        <v>624.62657700000022</v>
      </c>
      <c r="D2" s="2">
        <v>0.21601413369516301</v>
      </c>
      <c r="E2" s="3">
        <v>1591.7909976833337</v>
      </c>
    </row>
    <row r="3" spans="1:5" x14ac:dyDescent="0.25">
      <c r="A3" s="1">
        <v>46081</v>
      </c>
      <c r="B3" s="3">
        <v>2930.8661400000001</v>
      </c>
      <c r="C3" s="3">
        <v>630.41994427100008</v>
      </c>
      <c r="D3" s="2">
        <v>0.21509680557127051</v>
      </c>
      <c r="E3" s="3">
        <v>1901.3913324098005</v>
      </c>
    </row>
    <row r="4" spans="1:5" x14ac:dyDescent="0.25">
      <c r="A4" s="1">
        <v>46112</v>
      </c>
      <c r="B4" s="3">
        <v>2970.3078600000003</v>
      </c>
      <c r="C4" s="3">
        <v>636.16915121800025</v>
      </c>
      <c r="D4" s="2">
        <v>0.2141761666475879</v>
      </c>
      <c r="E4" s="3">
        <v>2212.3403645751996</v>
      </c>
    </row>
    <row r="5" spans="1:5" x14ac:dyDescent="0.25">
      <c r="A5" s="1">
        <v>46142</v>
      </c>
      <c r="B5" s="3">
        <v>3009.9256599999999</v>
      </c>
      <c r="C5" s="3">
        <v>641.87348471699988</v>
      </c>
      <c r="D5" s="2">
        <v>0.21325227172454483</v>
      </c>
      <c r="E5" s="3">
        <v>2524.601904889133</v>
      </c>
    </row>
    <row r="6" spans="1:5" x14ac:dyDescent="0.25">
      <c r="A6" s="1">
        <v>46173</v>
      </c>
      <c r="B6" s="3">
        <v>3049.7195400000001</v>
      </c>
      <c r="C6" s="3">
        <v>647.53223164400026</v>
      </c>
      <c r="D6" s="2">
        <v>0.21232517388926861</v>
      </c>
      <c r="E6" s="3">
        <v>2838.1391935620013</v>
      </c>
    </row>
    <row r="7" spans="1:5" x14ac:dyDescent="0.25">
      <c r="A7" s="1">
        <v>46203</v>
      </c>
      <c r="B7" s="3">
        <v>3089.6895</v>
      </c>
      <c r="C7" s="3">
        <v>653.14467887500018</v>
      </c>
      <c r="D7" s="2">
        <v>0.21139492459517378</v>
      </c>
      <c r="E7" s="3">
        <v>3152.9149003050002</v>
      </c>
    </row>
    <row r="8" spans="1:5" x14ac:dyDescent="0.25">
      <c r="A8" s="1">
        <v>46234</v>
      </c>
      <c r="B8" s="3">
        <v>3129.83554</v>
      </c>
      <c r="C8" s="3">
        <v>658.71011328599991</v>
      </c>
      <c r="D8" s="2">
        <v>0.21046157373687432</v>
      </c>
      <c r="E8" s="3">
        <v>3468.8911243301345</v>
      </c>
    </row>
    <row r="9" spans="1:5" x14ac:dyDescent="0.25">
      <c r="A9" s="1">
        <v>46265</v>
      </c>
      <c r="B9" s="3">
        <v>3170.1576600000003</v>
      </c>
      <c r="C9" s="3">
        <v>664.22782175299994</v>
      </c>
      <c r="D9" s="2">
        <v>0.2095251697207387</v>
      </c>
      <c r="E9" s="3">
        <v>3786.0293943502002</v>
      </c>
    </row>
    <row r="10" spans="1:5" x14ac:dyDescent="0.25">
      <c r="A10" s="1">
        <v>46295</v>
      </c>
      <c r="B10" s="3">
        <v>3210.6558599999998</v>
      </c>
      <c r="C10" s="3">
        <v>669.69709115199998</v>
      </c>
      <c r="D10" s="2">
        <v>0.20858575953138747</v>
      </c>
      <c r="E10" s="3">
        <v>4104.2906685788012</v>
      </c>
    </row>
    <row r="11" spans="1:5" x14ac:dyDescent="0.25">
      <c r="A11" s="1">
        <v>46326</v>
      </c>
      <c r="B11" s="3">
        <v>3268.2876400000005</v>
      </c>
      <c r="C11" s="3">
        <v>680.91412973400065</v>
      </c>
      <c r="D11" s="2">
        <v>0.20833971936876416</v>
      </c>
      <c r="E11" s="3">
        <v>4403.4111984553338</v>
      </c>
    </row>
    <row r="12" spans="1:5" x14ac:dyDescent="0.25">
      <c r="A12" s="1">
        <v>46356</v>
      </c>
      <c r="B12" s="3">
        <v>3309.183</v>
      </c>
      <c r="C12" s="3">
        <v>686.27681150000012</v>
      </c>
      <c r="D12" s="2">
        <v>0.2073855726624971</v>
      </c>
      <c r="E12" s="3">
        <v>4728.3552281200018</v>
      </c>
    </row>
    <row r="13" spans="1:5" x14ac:dyDescent="0.25">
      <c r="A13" s="1">
        <v>46387</v>
      </c>
      <c r="B13" s="3">
        <v>3350.2544399999997</v>
      </c>
      <c r="C13" s="3">
        <v>691.5887933259994</v>
      </c>
      <c r="D13" s="2">
        <v>0.20642873719346505</v>
      </c>
      <c r="E13" s="3">
        <v>5054.2955108388014</v>
      </c>
    </row>
    <row r="14" spans="1:5" x14ac:dyDescent="0.25">
      <c r="A14" s="1">
        <v>46418</v>
      </c>
      <c r="B14" s="3">
        <v>3383.7869157133009</v>
      </c>
      <c r="C14" s="3">
        <v>724.30145441747334</v>
      </c>
      <c r="D14" s="2">
        <v>0.21405055118986147</v>
      </c>
      <c r="E14" s="3">
        <v>5440.8497415108804</v>
      </c>
    </row>
    <row r="15" spans="1:5" x14ac:dyDescent="0.25">
      <c r="A15" s="1">
        <v>46446</v>
      </c>
      <c r="B15" s="3">
        <v>3417.6750892271139</v>
      </c>
      <c r="C15" s="3">
        <v>725.98656589280017</v>
      </c>
      <c r="D15" s="2">
        <v>0.21242117724449269</v>
      </c>
      <c r="E15" s="3">
        <v>5810.8862046316481</v>
      </c>
    </row>
    <row r="16" spans="1:5" x14ac:dyDescent="0.25">
      <c r="A16" s="1">
        <v>46477</v>
      </c>
      <c r="B16" s="3">
        <v>3451.922926967889</v>
      </c>
      <c r="C16" s="3">
        <v>727.59271140338501</v>
      </c>
      <c r="D16" s="2">
        <v>0.21077895619253881</v>
      </c>
      <c r="E16" s="3">
        <v>6180.2139431373271</v>
      </c>
    </row>
    <row r="17" spans="1:5" x14ac:dyDescent="0.25">
      <c r="A17" s="1">
        <v>46507</v>
      </c>
      <c r="B17" s="3">
        <v>3486.5344414481224</v>
      </c>
      <c r="C17" s="3">
        <v>729.11754819089913</v>
      </c>
      <c r="D17" s="2">
        <v>0.20912386222924051</v>
      </c>
      <c r="E17" s="3">
        <v>6548.74564491623</v>
      </c>
    </row>
    <row r="18" spans="1:5" x14ac:dyDescent="0.25">
      <c r="A18" s="1">
        <v>46538</v>
      </c>
      <c r="B18" s="3">
        <v>3521.5136918199396</v>
      </c>
      <c r="C18" s="3">
        <v>730.55868445658234</v>
      </c>
      <c r="D18" s="2">
        <v>0.20745586937616739</v>
      </c>
      <c r="E18" s="3">
        <v>6916.3918212949056</v>
      </c>
    </row>
    <row r="19" spans="1:5" x14ac:dyDescent="0.25">
      <c r="A19" s="1">
        <v>46568</v>
      </c>
      <c r="B19" s="3">
        <v>3556.8647844355169</v>
      </c>
      <c r="C19" s="3">
        <v>731.91367844029594</v>
      </c>
      <c r="D19" s="2">
        <v>0.20577495148060637</v>
      </c>
      <c r="E19" s="3">
        <v>7283.0607638038136</v>
      </c>
    </row>
    <row r="20" spans="1:5" x14ac:dyDescent="0.25">
      <c r="A20" s="1">
        <v>46599</v>
      </c>
      <c r="B20" s="3">
        <v>3592.5918734144107</v>
      </c>
      <c r="C20" s="3">
        <v>733.18003748303386</v>
      </c>
      <c r="D20" s="2">
        <v>0.20408108221494617</v>
      </c>
      <c r="E20" s="3">
        <v>7648.6585001507283</v>
      </c>
    </row>
    <row r="21" spans="1:5" x14ac:dyDescent="0.25">
      <c r="A21" s="1">
        <v>46630</v>
      </c>
      <c r="B21" s="3">
        <v>3628.6991612178949</v>
      </c>
      <c r="C21" s="3">
        <v>734.35521707260341</v>
      </c>
      <c r="D21" s="2">
        <v>0.20237423507605762</v>
      </c>
      <c r="E21" s="3">
        <v>8013.0887493878299</v>
      </c>
    </row>
    <row r="22" spans="1:5" x14ac:dyDescent="0.25">
      <c r="A22" s="1">
        <v>46660</v>
      </c>
      <c r="B22" s="3">
        <v>3665.1908992303988</v>
      </c>
      <c r="C22" s="3">
        <v>735.4366198721882</v>
      </c>
      <c r="D22" s="2">
        <v>0.20065438338467229</v>
      </c>
      <c r="E22" s="3">
        <v>8376.2528762582242</v>
      </c>
    </row>
    <row r="23" spans="1:5" x14ac:dyDescent="0.25">
      <c r="A23" s="1">
        <v>46691</v>
      </c>
      <c r="B23" s="3">
        <v>3702.0713883481226</v>
      </c>
      <c r="C23" s="3">
        <v>736.42159473147706</v>
      </c>
      <c r="D23" s="2">
        <v>0.19892150028475572</v>
      </c>
      <c r="E23" s="3">
        <v>8738.0498447073496</v>
      </c>
    </row>
    <row r="24" spans="1:5" x14ac:dyDescent="0.25">
      <c r="A24" s="1">
        <v>46721</v>
      </c>
      <c r="B24" s="3">
        <v>3739.3449795749307</v>
      </c>
      <c r="C24" s="3">
        <v>737.30743568006903</v>
      </c>
      <c r="D24" s="2">
        <v>0.1971755587428797</v>
      </c>
      <c r="E24" s="3">
        <v>9098.3761705444904</v>
      </c>
    </row>
    <row r="25" spans="1:5" x14ac:dyDescent="0.25">
      <c r="A25" s="1">
        <v>46752</v>
      </c>
      <c r="B25" s="3">
        <v>3777.0160746256079</v>
      </c>
      <c r="C25" s="3">
        <v>738.09138090282261</v>
      </c>
      <c r="D25" s="2">
        <v>0.19541653154758815</v>
      </c>
      <c r="E25" s="3">
        <v>9457.1258732393926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8299-0A7F-4613-AB44-A4F272D38A5B}">
  <dimension ref="A1:M44"/>
  <sheetViews>
    <sheetView workbookViewId="0">
      <pane ySplit="16" topLeftCell="A27" activePane="bottomLeft" state="frozen"/>
      <selection pane="bottomLeft" activeCell="E34" sqref="E34"/>
    </sheetView>
  </sheetViews>
  <sheetFormatPr defaultRowHeight="15" x14ac:dyDescent="0.25"/>
  <cols>
    <col min="1" max="1" width="33.28515625" customWidth="1"/>
    <col min="2" max="13" width="14.42578125" customWidth="1"/>
  </cols>
  <sheetData>
    <row r="1" spans="1:13" s="12" customFormat="1" ht="32.1" customHeight="1" x14ac:dyDescent="0.35">
      <c r="A1" s="11" t="s">
        <v>100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8.9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8.95" customHeight="1" x14ac:dyDescent="0.25">
      <c r="A3" s="13" t="s">
        <v>101</v>
      </c>
      <c r="B3" s="13" t="s">
        <v>102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8.95" customHeight="1" x14ac:dyDescent="0.25">
      <c r="A4" s="5" t="s">
        <v>103</v>
      </c>
      <c r="B4" s="15">
        <v>2027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8.95" customHeight="1" x14ac:dyDescent="0.25">
      <c r="A5" s="5" t="s">
        <v>104</v>
      </c>
      <c r="B5" s="60">
        <v>0.03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8.95" customHeight="1" x14ac:dyDescent="0.25">
      <c r="A6" s="5" t="s">
        <v>105</v>
      </c>
      <c r="B6" s="60">
        <v>5.0000000000000001E-3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8.95" customHeight="1" x14ac:dyDescent="0.25">
      <c r="A7" s="5" t="s">
        <v>106</v>
      </c>
      <c r="B7" s="60">
        <v>0.02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18.95" customHeight="1" x14ac:dyDescent="0.25">
      <c r="A8" s="5" t="s">
        <v>12</v>
      </c>
      <c r="B8" s="60">
        <v>6.5000000000000002E-2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18.95" customHeight="1" x14ac:dyDescent="0.25">
      <c r="A9" s="5" t="s">
        <v>107</v>
      </c>
      <c r="B9" s="60">
        <v>-0.02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8.95" customHeight="1" x14ac:dyDescent="0.25">
      <c r="A10" s="5" t="s">
        <v>18</v>
      </c>
      <c r="B10" s="60">
        <v>4.2000000000000003E-2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18.95" customHeight="1" x14ac:dyDescent="0.25">
      <c r="A11" s="5" t="s">
        <v>19</v>
      </c>
      <c r="B11" s="60">
        <v>0.2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18.95" customHeight="1" x14ac:dyDescent="0.25">
      <c r="A12" s="5" t="s">
        <v>15</v>
      </c>
      <c r="B12" s="61">
        <v>35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8.95" customHeight="1" x14ac:dyDescent="0.25">
      <c r="A13" s="5" t="s">
        <v>16</v>
      </c>
      <c r="B13" s="61">
        <v>45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18.95" customHeight="1" x14ac:dyDescent="0.25">
      <c r="A14" s="5" t="s">
        <v>17</v>
      </c>
      <c r="B14" s="61">
        <v>30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18.9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18.95" customHeight="1" x14ac:dyDescent="0.25">
      <c r="A16" s="62" t="s">
        <v>62</v>
      </c>
      <c r="B16" s="63">
        <v>46418</v>
      </c>
      <c r="C16" s="63">
        <v>46446</v>
      </c>
      <c r="D16" s="63">
        <v>46477</v>
      </c>
      <c r="E16" s="63">
        <v>46507</v>
      </c>
      <c r="F16" s="63">
        <v>46538</v>
      </c>
      <c r="G16" s="63">
        <v>46568</v>
      </c>
      <c r="H16" s="63">
        <v>46599</v>
      </c>
      <c r="I16" s="63">
        <v>46630</v>
      </c>
      <c r="J16" s="63">
        <v>46660</v>
      </c>
      <c r="K16" s="63">
        <v>46691</v>
      </c>
      <c r="L16" s="63">
        <v>46721</v>
      </c>
      <c r="M16" s="63">
        <v>46752</v>
      </c>
    </row>
    <row r="17" spans="1:13" ht="18.95" customHeight="1" x14ac:dyDescent="0.25">
      <c r="A17" s="5" t="s">
        <v>108</v>
      </c>
      <c r="B17" s="9">
        <v>3383.7869157133009</v>
      </c>
      <c r="C17" s="9">
        <v>3417.6750892271139</v>
      </c>
      <c r="D17" s="9">
        <v>3451.922926967889</v>
      </c>
      <c r="E17" s="9">
        <v>3486.5344414481224</v>
      </c>
      <c r="F17" s="9">
        <v>3521.5136918199396</v>
      </c>
      <c r="G17" s="9">
        <v>3556.8647844355169</v>
      </c>
      <c r="H17" s="9">
        <v>3592.5918734144107</v>
      </c>
      <c r="I17" s="9">
        <v>3628.6991612178949</v>
      </c>
      <c r="J17" s="9">
        <v>3665.1908992303988</v>
      </c>
      <c r="K17" s="9">
        <v>3702.0713883481226</v>
      </c>
      <c r="L17" s="9">
        <v>3739.3449795749307</v>
      </c>
      <c r="M17" s="9">
        <v>3777.0160746256079</v>
      </c>
    </row>
    <row r="18" spans="1:13" ht="18.95" customHeight="1" x14ac:dyDescent="0.25">
      <c r="A18" s="34" t="s">
        <v>109</v>
      </c>
      <c r="B18" s="46">
        <v>3485.3005231847001</v>
      </c>
      <c r="C18" s="46">
        <v>3520.2053419039275</v>
      </c>
      <c r="D18" s="46">
        <v>3555.4806147769259</v>
      </c>
      <c r="E18" s="46">
        <v>3591.1304746915662</v>
      </c>
      <c r="F18" s="46">
        <v>3627.1591025745379</v>
      </c>
      <c r="G18" s="46">
        <v>3663.5707279685826</v>
      </c>
      <c r="H18" s="46">
        <v>3700.3696296168432</v>
      </c>
      <c r="I18" s="46">
        <v>3737.560136054432</v>
      </c>
      <c r="J18" s="46">
        <v>3775.1466262073109</v>
      </c>
      <c r="K18" s="46">
        <v>3813.1335299985662</v>
      </c>
      <c r="L18" s="46">
        <v>3851.5253289621787</v>
      </c>
      <c r="M18" s="46">
        <v>3890.326556864376</v>
      </c>
    </row>
    <row r="19" spans="1:13" ht="18.95" customHeight="1" x14ac:dyDescent="0.25">
      <c r="A19" s="64" t="s">
        <v>110</v>
      </c>
      <c r="B19" s="65">
        <v>3.0000000000000027E-2</v>
      </c>
      <c r="C19" s="65">
        <v>3.0000000000000027E-2</v>
      </c>
      <c r="D19" s="65">
        <v>3.0000000000000027E-2</v>
      </c>
      <c r="E19" s="65">
        <v>3.0000000000000027E-2</v>
      </c>
      <c r="F19" s="65">
        <v>3.0000000000000027E-2</v>
      </c>
      <c r="G19" s="65">
        <v>3.0000000000000027E-2</v>
      </c>
      <c r="H19" s="65">
        <v>3.0000000000000027E-2</v>
      </c>
      <c r="I19" s="65">
        <v>3.0000000000000027E-2</v>
      </c>
      <c r="J19" s="65">
        <v>3.0000000000000027E-2</v>
      </c>
      <c r="K19" s="65">
        <v>3.0000000000000027E-2</v>
      </c>
      <c r="L19" s="65">
        <v>3.0000000000000027E-2</v>
      </c>
      <c r="M19" s="65">
        <v>3.0000000000000027E-2</v>
      </c>
    </row>
    <row r="20" spans="1:13" ht="18.95" customHeight="1" x14ac:dyDescent="0.25">
      <c r="A20" s="5" t="s">
        <v>111</v>
      </c>
      <c r="B20" s="9">
        <v>2009.8664130196962</v>
      </c>
      <c r="C20" s="9">
        <v>2038.0855802029091</v>
      </c>
      <c r="D20" s="9">
        <v>2066.7129858843937</v>
      </c>
      <c r="E20" s="9">
        <v>2095.7547036623005</v>
      </c>
      <c r="F20" s="9">
        <v>2125.2168998223115</v>
      </c>
      <c r="G20" s="9">
        <v>2155.1058347844464</v>
      </c>
      <c r="H20" s="9">
        <v>2185.4278645729019</v>
      </c>
      <c r="I20" s="9">
        <v>2216.1894423093017</v>
      </c>
      <c r="J20" s="9">
        <v>2247.3971197297365</v>
      </c>
      <c r="K20" s="9">
        <v>2279.0575487259789</v>
      </c>
      <c r="L20" s="9">
        <v>2311.1774829112592</v>
      </c>
      <c r="M20" s="9">
        <v>2343.7637792110136</v>
      </c>
    </row>
    <row r="21" spans="1:13" ht="18.95" customHeight="1" x14ac:dyDescent="0.25">
      <c r="A21" s="5" t="s">
        <v>112</v>
      </c>
      <c r="B21" s="9">
        <v>2052.7359027943639</v>
      </c>
      <c r="C21" s="9">
        <v>2081.6271208994772</v>
      </c>
      <c r="D21" s="9">
        <v>2110.9369723870414</v>
      </c>
      <c r="E21" s="9">
        <v>2140.6716923987115</v>
      </c>
      <c r="F21" s="9">
        <v>2170.8376113041081</v>
      </c>
      <c r="G21" s="9">
        <v>2201.441156188137</v>
      </c>
      <c r="H21" s="9">
        <v>2232.4888523620048</v>
      </c>
      <c r="I21" s="9">
        <v>2263.9873248983085</v>
      </c>
      <c r="J21" s="9">
        <v>2295.9433001905918</v>
      </c>
      <c r="K21" s="9">
        <v>2328.3636075377653</v>
      </c>
      <c r="L21" s="9">
        <v>2361.2551807537861</v>
      </c>
      <c r="M21" s="9">
        <v>2394.6250598030219</v>
      </c>
    </row>
    <row r="22" spans="1:13" ht="18.95" customHeight="1" x14ac:dyDescent="0.25">
      <c r="A22" s="34" t="s">
        <v>78</v>
      </c>
      <c r="B22" s="46">
        <v>1432.5646203903361</v>
      </c>
      <c r="C22" s="46">
        <v>1438.5782210044504</v>
      </c>
      <c r="D22" s="46">
        <v>1444.5436423898846</v>
      </c>
      <c r="E22" s="46">
        <v>1450.4587822928547</v>
      </c>
      <c r="F22" s="46">
        <v>1456.3214912704298</v>
      </c>
      <c r="G22" s="46">
        <v>1462.1295717804455</v>
      </c>
      <c r="H22" s="46">
        <v>1467.8807772548384</v>
      </c>
      <c r="I22" s="46">
        <v>1473.5728111561234</v>
      </c>
      <c r="J22" s="46">
        <v>1479.2033260167191</v>
      </c>
      <c r="K22" s="46">
        <v>1484.7699224608009</v>
      </c>
      <c r="L22" s="46">
        <v>1490.2701482083926</v>
      </c>
      <c r="M22" s="46">
        <v>1495.7014970613541</v>
      </c>
    </row>
    <row r="23" spans="1:13" ht="18.95" customHeight="1" x14ac:dyDescent="0.25">
      <c r="A23" s="64" t="s">
        <v>79</v>
      </c>
      <c r="B23" s="65">
        <v>0.41103044367644009</v>
      </c>
      <c r="C23" s="65">
        <v>0.4086631549244753</v>
      </c>
      <c r="D23" s="65">
        <v>0.40628646276011732</v>
      </c>
      <c r="E23" s="65">
        <v>0.40390032958004157</v>
      </c>
      <c r="F23" s="65">
        <v>0.40150471762783735</v>
      </c>
      <c r="G23" s="65">
        <v>0.39909958899338172</v>
      </c>
      <c r="H23" s="65">
        <v>0.39668490561220798</v>
      </c>
      <c r="I23" s="65">
        <v>0.39426062926487265</v>
      </c>
      <c r="J23" s="65">
        <v>0.39182672157632087</v>
      </c>
      <c r="K23" s="65">
        <v>0.38938314401524754</v>
      </c>
      <c r="L23" s="65">
        <v>0.38692985789345868</v>
      </c>
      <c r="M23" s="65">
        <v>0.38446682436522694</v>
      </c>
    </row>
    <row r="24" spans="1:13" ht="18.9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ht="18.95" customHeight="1" x14ac:dyDescent="0.25">
      <c r="A25" s="5" t="s">
        <v>54</v>
      </c>
      <c r="B25" s="9">
        <v>282.72257999999999</v>
      </c>
      <c r="C25" s="9">
        <v>284.13619289999991</v>
      </c>
      <c r="D25" s="9">
        <v>285.55687386449995</v>
      </c>
      <c r="E25" s="9">
        <v>286.98465823382242</v>
      </c>
      <c r="F25" s="9">
        <v>288.41958152499149</v>
      </c>
      <c r="G25" s="9">
        <v>289.86167943261643</v>
      </c>
      <c r="H25" s="9">
        <v>291.31098782977944</v>
      </c>
      <c r="I25" s="9">
        <v>292.76754276892831</v>
      </c>
      <c r="J25" s="9">
        <v>294.23138048277292</v>
      </c>
      <c r="K25" s="9">
        <v>295.70253738518676</v>
      </c>
      <c r="L25" s="9">
        <v>297.18105007211267</v>
      </c>
      <c r="M25" s="9">
        <v>298.6669553224732</v>
      </c>
    </row>
    <row r="26" spans="1:13" ht="18.95" customHeight="1" x14ac:dyDescent="0.25">
      <c r="A26" s="5" t="s">
        <v>55</v>
      </c>
      <c r="B26" s="9">
        <v>226.54453400700552</v>
      </c>
      <c r="C26" s="9">
        <v>228.8133472237553</v>
      </c>
      <c r="D26" s="9">
        <v>231.1062399605002</v>
      </c>
      <c r="E26" s="9">
        <v>233.4234808549518</v>
      </c>
      <c r="F26" s="9">
        <v>235.76534166734498</v>
      </c>
      <c r="G26" s="9">
        <v>238.13209731795789</v>
      </c>
      <c r="H26" s="9">
        <v>240.5240259250948</v>
      </c>
      <c r="I26" s="9">
        <v>242.94140884353808</v>
      </c>
      <c r="J26" s="9">
        <v>245.38453070347521</v>
      </c>
      <c r="K26" s="9">
        <v>247.85367944990682</v>
      </c>
      <c r="L26" s="9">
        <v>250.34914638254162</v>
      </c>
      <c r="M26" s="9">
        <v>252.87122619618444</v>
      </c>
    </row>
    <row r="27" spans="1:13" ht="18.95" customHeight="1" x14ac:dyDescent="0.25">
      <c r="A27" s="5" t="s">
        <v>56</v>
      </c>
      <c r="B27" s="9">
        <v>166.02457666666666</v>
      </c>
      <c r="C27" s="9">
        <v>166.57799192222222</v>
      </c>
      <c r="D27" s="9">
        <v>167.13325189529633</v>
      </c>
      <c r="E27" s="9">
        <v>167.69036273494731</v>
      </c>
      <c r="F27" s="9">
        <v>168.24933061073048</v>
      </c>
      <c r="G27" s="9">
        <v>168.81016171276627</v>
      </c>
      <c r="H27" s="9">
        <v>169.37286225180884</v>
      </c>
      <c r="I27" s="9">
        <v>169.93743845931488</v>
      </c>
      <c r="J27" s="9">
        <v>170.5038965875126</v>
      </c>
      <c r="K27" s="9">
        <v>171.07224290947099</v>
      </c>
      <c r="L27" s="9">
        <v>171.64248371916923</v>
      </c>
      <c r="M27" s="9">
        <v>172.21462533156648</v>
      </c>
    </row>
    <row r="28" spans="1:13" ht="18.95" customHeight="1" x14ac:dyDescent="0.25">
      <c r="A28" s="43" t="s">
        <v>80</v>
      </c>
      <c r="B28" s="44">
        <v>757.27292971666395</v>
      </c>
      <c r="C28" s="44">
        <v>759.05068895847285</v>
      </c>
      <c r="D28" s="44">
        <v>760.74727666958802</v>
      </c>
      <c r="E28" s="44">
        <v>762.36028046913316</v>
      </c>
      <c r="F28" s="44">
        <v>763.88723746736287</v>
      </c>
      <c r="G28" s="44">
        <v>765.32563331710503</v>
      </c>
      <c r="H28" s="44">
        <v>766.67290124815531</v>
      </c>
      <c r="I28" s="44">
        <v>767.92642108434211</v>
      </c>
      <c r="J28" s="44">
        <v>769.08351824295835</v>
      </c>
      <c r="K28" s="44">
        <v>770.14146271623633</v>
      </c>
      <c r="L28" s="44">
        <v>771.09746803456903</v>
      </c>
      <c r="M28" s="44">
        <v>771.94869021112993</v>
      </c>
    </row>
    <row r="29" spans="1:13" ht="18.95" customHeight="1" x14ac:dyDescent="0.25">
      <c r="A29" s="64" t="s">
        <v>81</v>
      </c>
      <c r="B29" s="65">
        <v>0.21727622185782255</v>
      </c>
      <c r="C29" s="65">
        <v>0.21562682151602411</v>
      </c>
      <c r="D29" s="65">
        <v>0.21396468131702021</v>
      </c>
      <c r="E29" s="65">
        <v>0.21228977500033899</v>
      </c>
      <c r="F29" s="65">
        <v>0.21060207613312573</v>
      </c>
      <c r="G29" s="65">
        <v>0.20890155810953084</v>
      </c>
      <c r="H29" s="65">
        <v>0.20718819415009113</v>
      </c>
      <c r="I29" s="65">
        <v>0.20546195730110881</v>
      </c>
      <c r="J29" s="65">
        <v>0.20372282043402792</v>
      </c>
      <c r="K29" s="65">
        <v>0.20197075624480582</v>
      </c>
      <c r="L29" s="65">
        <v>0.20020573725328369</v>
      </c>
      <c r="M29" s="65">
        <v>0.19842773580255038</v>
      </c>
    </row>
    <row r="30" spans="1:13" ht="18.9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18.95" customHeight="1" x14ac:dyDescent="0.25">
      <c r="A31" s="5" t="s">
        <v>57</v>
      </c>
      <c r="B31" s="9">
        <v>78</v>
      </c>
      <c r="C31" s="9">
        <v>78</v>
      </c>
      <c r="D31" s="9">
        <v>78</v>
      </c>
      <c r="E31" s="9">
        <v>78</v>
      </c>
      <c r="F31" s="9">
        <v>78</v>
      </c>
      <c r="G31" s="9">
        <v>78</v>
      </c>
      <c r="H31" s="9">
        <v>78</v>
      </c>
      <c r="I31" s="9">
        <v>78</v>
      </c>
      <c r="J31" s="9">
        <v>78</v>
      </c>
      <c r="K31" s="9">
        <v>78</v>
      </c>
      <c r="L31" s="9">
        <v>78</v>
      </c>
      <c r="M31" s="9">
        <v>78</v>
      </c>
    </row>
    <row r="32" spans="1:13" ht="18.95" customHeight="1" x14ac:dyDescent="0.25">
      <c r="A32" s="5" t="s">
        <v>82</v>
      </c>
      <c r="B32" s="9">
        <v>679.27292971666395</v>
      </c>
      <c r="C32" s="9">
        <v>681.05068895847285</v>
      </c>
      <c r="D32" s="9">
        <v>682.74727666958802</v>
      </c>
      <c r="E32" s="9">
        <v>684.36028046913316</v>
      </c>
      <c r="F32" s="9">
        <v>685.88723746736287</v>
      </c>
      <c r="G32" s="9">
        <v>687.32563331710503</v>
      </c>
      <c r="H32" s="9">
        <v>688.67290124815531</v>
      </c>
      <c r="I32" s="9">
        <v>689.92642108434211</v>
      </c>
      <c r="J32" s="9">
        <v>691.08351824295835</v>
      </c>
      <c r="K32" s="9">
        <v>692.14146271623633</v>
      </c>
      <c r="L32" s="9">
        <v>693.09746803456903</v>
      </c>
      <c r="M32" s="9">
        <v>693.94869021112993</v>
      </c>
    </row>
    <row r="33" spans="1:13" ht="18.95" customHeight="1" x14ac:dyDescent="0.25">
      <c r="A33" s="5" t="s">
        <v>83</v>
      </c>
      <c r="B33" s="9">
        <v>45</v>
      </c>
      <c r="C33" s="9">
        <v>45</v>
      </c>
      <c r="D33" s="9">
        <v>45</v>
      </c>
      <c r="E33" s="9">
        <v>45</v>
      </c>
      <c r="F33" s="9">
        <v>45</v>
      </c>
      <c r="G33" s="9">
        <v>45</v>
      </c>
      <c r="H33" s="9">
        <v>45</v>
      </c>
      <c r="I33" s="9">
        <v>45</v>
      </c>
      <c r="J33" s="9">
        <v>45</v>
      </c>
      <c r="K33" s="9">
        <v>45</v>
      </c>
      <c r="L33" s="9">
        <v>45</v>
      </c>
      <c r="M33" s="9">
        <v>45</v>
      </c>
    </row>
    <row r="34" spans="1:13" ht="18.95" customHeight="1" x14ac:dyDescent="0.25">
      <c r="A34" s="5" t="s">
        <v>84</v>
      </c>
      <c r="B34" s="9">
        <v>634.27292971666395</v>
      </c>
      <c r="C34" s="9">
        <v>636.05068895847285</v>
      </c>
      <c r="D34" s="9">
        <v>637.74727666958802</v>
      </c>
      <c r="E34" s="9">
        <v>639.36028046913316</v>
      </c>
      <c r="F34" s="9">
        <v>640.88723746736287</v>
      </c>
      <c r="G34" s="9">
        <v>642.32563331710503</v>
      </c>
      <c r="H34" s="9">
        <v>643.67290124815531</v>
      </c>
      <c r="I34" s="9">
        <v>644.92642108434211</v>
      </c>
      <c r="J34" s="9">
        <v>646.08351824295835</v>
      </c>
      <c r="K34" s="9">
        <v>647.14146271623633</v>
      </c>
      <c r="L34" s="9">
        <v>648.09746803456903</v>
      </c>
      <c r="M34" s="9">
        <v>648.94869021112993</v>
      </c>
    </row>
    <row r="35" spans="1:13" ht="18.95" customHeight="1" x14ac:dyDescent="0.25">
      <c r="A35" s="5" t="s">
        <v>85</v>
      </c>
      <c r="B35" s="9">
        <v>126.85458594333279</v>
      </c>
      <c r="C35" s="9">
        <v>127.21013779169458</v>
      </c>
      <c r="D35" s="9">
        <v>127.54945533391761</v>
      </c>
      <c r="E35" s="9">
        <v>127.87205609382664</v>
      </c>
      <c r="F35" s="9">
        <v>128.17744749347258</v>
      </c>
      <c r="G35" s="9">
        <v>128.46512666342102</v>
      </c>
      <c r="H35" s="9">
        <v>128.73458024963108</v>
      </c>
      <c r="I35" s="9">
        <v>128.98528421686842</v>
      </c>
      <c r="J35" s="9">
        <v>129.21670364859168</v>
      </c>
      <c r="K35" s="9">
        <v>129.42829254324727</v>
      </c>
      <c r="L35" s="9">
        <v>129.61949360691381</v>
      </c>
      <c r="M35" s="9">
        <v>129.78973804222599</v>
      </c>
    </row>
    <row r="36" spans="1:13" ht="18.95" customHeight="1" x14ac:dyDescent="0.25">
      <c r="A36" s="34" t="s">
        <v>86</v>
      </c>
      <c r="B36" s="46">
        <v>507.41834377333117</v>
      </c>
      <c r="C36" s="46">
        <v>508.84055116677825</v>
      </c>
      <c r="D36" s="46">
        <v>510.19782133567043</v>
      </c>
      <c r="E36" s="46">
        <v>511.48822437530652</v>
      </c>
      <c r="F36" s="46">
        <v>512.70978997389034</v>
      </c>
      <c r="G36" s="46">
        <v>513.86050665368407</v>
      </c>
      <c r="H36" s="46">
        <v>514.9383209985242</v>
      </c>
      <c r="I36" s="46">
        <v>515.94113686747369</v>
      </c>
      <c r="J36" s="46">
        <v>516.8668145943667</v>
      </c>
      <c r="K36" s="46">
        <v>517.71317017298907</v>
      </c>
      <c r="L36" s="46">
        <v>518.47797442765523</v>
      </c>
      <c r="M36" s="46">
        <v>519.15895216890397</v>
      </c>
    </row>
    <row r="37" spans="1:13" ht="18.9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ht="18.95" customHeight="1" x14ac:dyDescent="0.25">
      <c r="A38" s="5" t="s">
        <v>89</v>
      </c>
      <c r="B38" s="9">
        <v>4066.1839437154836</v>
      </c>
      <c r="C38" s="9">
        <v>4106.9062322212485</v>
      </c>
      <c r="D38" s="9">
        <v>4148.0607172397467</v>
      </c>
      <c r="E38" s="9">
        <v>4189.6522204734938</v>
      </c>
      <c r="F38" s="9">
        <v>4231.6856196702947</v>
      </c>
      <c r="G38" s="9">
        <v>4274.1658492966799</v>
      </c>
      <c r="H38" s="9">
        <v>4317.0979012196503</v>
      </c>
      <c r="I38" s="9">
        <v>4360.486825396837</v>
      </c>
      <c r="J38" s="9">
        <v>4404.3377305751965</v>
      </c>
      <c r="K38" s="9">
        <v>4448.6557849983274</v>
      </c>
      <c r="L38" s="9">
        <v>4493.4462171225423</v>
      </c>
      <c r="M38" s="9">
        <v>4538.7143163417722</v>
      </c>
    </row>
    <row r="39" spans="1:13" ht="18.95" customHeight="1" x14ac:dyDescent="0.25">
      <c r="A39" s="5" t="s">
        <v>90</v>
      </c>
      <c r="B39" s="9">
        <v>3079.1038541915459</v>
      </c>
      <c r="C39" s="9">
        <v>3122.4406813492155</v>
      </c>
      <c r="D39" s="9">
        <v>3166.4054585805625</v>
      </c>
      <c r="E39" s="9">
        <v>3211.0075385980672</v>
      </c>
      <c r="F39" s="9">
        <v>3256.256416956162</v>
      </c>
      <c r="G39" s="9">
        <v>3302.1617342822055</v>
      </c>
      <c r="H39" s="9">
        <v>3348.7332785430076</v>
      </c>
      <c r="I39" s="9">
        <v>3395.9809873474628</v>
      </c>
      <c r="J39" s="9">
        <v>3443.9149502858877</v>
      </c>
      <c r="K39" s="9">
        <v>3492.545411306648</v>
      </c>
      <c r="L39" s="9">
        <v>3541.882771130679</v>
      </c>
      <c r="M39" s="9">
        <v>3591.9375897045329</v>
      </c>
    </row>
    <row r="40" spans="1:13" ht="18.95" customHeight="1" x14ac:dyDescent="0.25">
      <c r="A40" s="5" t="s">
        <v>91</v>
      </c>
      <c r="B40" s="9">
        <v>2052.7359027943639</v>
      </c>
      <c r="C40" s="9">
        <v>2081.6271208994772</v>
      </c>
      <c r="D40" s="9">
        <v>2110.9369723870414</v>
      </c>
      <c r="E40" s="9">
        <v>2140.6716923987115</v>
      </c>
      <c r="F40" s="9">
        <v>2170.8376113041081</v>
      </c>
      <c r="G40" s="9">
        <v>2201.441156188137</v>
      </c>
      <c r="H40" s="9">
        <v>2232.4888523620048</v>
      </c>
      <c r="I40" s="9">
        <v>2263.9873248983085</v>
      </c>
      <c r="J40" s="9">
        <v>2295.9433001905918</v>
      </c>
      <c r="K40" s="9">
        <v>2328.3636075377653</v>
      </c>
      <c r="L40" s="9">
        <v>2361.2551807537861</v>
      </c>
      <c r="M40" s="9">
        <v>2394.6250598030219</v>
      </c>
    </row>
    <row r="41" spans="1:13" ht="18.95" customHeight="1" x14ac:dyDescent="0.25">
      <c r="A41" s="5" t="s">
        <v>92</v>
      </c>
      <c r="B41" s="9">
        <v>5092.5518951126651</v>
      </c>
      <c r="C41" s="9">
        <v>5147.7197926709869</v>
      </c>
      <c r="D41" s="9">
        <v>5203.5292034332679</v>
      </c>
      <c r="E41" s="9">
        <v>5259.9880666728495</v>
      </c>
      <c r="F41" s="9">
        <v>5317.1044253223481</v>
      </c>
      <c r="G41" s="9">
        <v>5374.8864273907484</v>
      </c>
      <c r="H41" s="9">
        <v>5433.3423274006527</v>
      </c>
      <c r="I41" s="9">
        <v>5492.4804878459918</v>
      </c>
      <c r="J41" s="9">
        <v>5552.3093806704919</v>
      </c>
      <c r="K41" s="9">
        <v>5612.83758876721</v>
      </c>
      <c r="L41" s="9">
        <v>5674.0738074994351</v>
      </c>
      <c r="M41" s="9">
        <v>5736.0268462432832</v>
      </c>
    </row>
    <row r="42" spans="1:13" ht="18.95" customHeight="1" x14ac:dyDescent="0.25">
      <c r="A42" s="5" t="s">
        <v>93</v>
      </c>
      <c r="B42" s="9">
        <v>177.00274317066578</v>
      </c>
      <c r="C42" s="9">
        <v>55.167897558321783</v>
      </c>
      <c r="D42" s="9">
        <v>55.809410762281004</v>
      </c>
      <c r="E42" s="9">
        <v>56.45886323958166</v>
      </c>
      <c r="F42" s="9">
        <v>57.116358649498579</v>
      </c>
      <c r="G42" s="9">
        <v>57.782002068400288</v>
      </c>
      <c r="H42" s="9">
        <v>58.455900009904326</v>
      </c>
      <c r="I42" s="9">
        <v>59.138160445339054</v>
      </c>
      <c r="J42" s="9">
        <v>59.828892824500144</v>
      </c>
      <c r="K42" s="9">
        <v>60.528208096718117</v>
      </c>
      <c r="L42" s="9">
        <v>61.236218732225097</v>
      </c>
      <c r="M42" s="9">
        <v>61.953038743848083</v>
      </c>
    </row>
    <row r="43" spans="1:13" ht="18.95" customHeight="1" x14ac:dyDescent="0.25">
      <c r="A43" s="5" t="s">
        <v>58</v>
      </c>
      <c r="B43" s="9">
        <v>146.38262197375741</v>
      </c>
      <c r="C43" s="9">
        <v>147.84862435996496</v>
      </c>
      <c r="D43" s="9">
        <v>149.3301858206309</v>
      </c>
      <c r="E43" s="9">
        <v>150.82747993704578</v>
      </c>
      <c r="F43" s="9">
        <v>152.3406823081306</v>
      </c>
      <c r="G43" s="9">
        <v>153.86997057468048</v>
      </c>
      <c r="H43" s="9">
        <v>155.41552444390743</v>
      </c>
      <c r="I43" s="9">
        <v>156.97752571428614</v>
      </c>
      <c r="J43" s="9">
        <v>158.55615830070707</v>
      </c>
      <c r="K43" s="9">
        <v>160.15160825993979</v>
      </c>
      <c r="L43" s="9">
        <v>161.76406381641152</v>
      </c>
      <c r="M43" s="9">
        <v>163.3937153883038</v>
      </c>
    </row>
    <row r="44" spans="1:13" ht="18.95" customHeight="1" x14ac:dyDescent="0.25">
      <c r="A44" s="38" t="s">
        <v>94</v>
      </c>
      <c r="B44" s="39">
        <v>262.03297862890793</v>
      </c>
      <c r="C44" s="39">
        <v>383.82402924849151</v>
      </c>
      <c r="D44" s="39">
        <v>383.05822475275846</v>
      </c>
      <c r="E44" s="39">
        <v>382.20188119867913</v>
      </c>
      <c r="F44" s="39">
        <v>381.25274901626119</v>
      </c>
      <c r="G44" s="39">
        <v>380.20853401060333</v>
      </c>
      <c r="H44" s="39">
        <v>379.06689654471245</v>
      </c>
      <c r="I44" s="39">
        <v>377.82545070784852</v>
      </c>
      <c r="J44" s="39">
        <v>376.48176346915949</v>
      </c>
      <c r="K44" s="39">
        <v>375.03335381633116</v>
      </c>
      <c r="L44" s="39">
        <v>373.47769187901861</v>
      </c>
      <c r="M44" s="39">
        <v>371.81219803675208</v>
      </c>
    </row>
  </sheetData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077C-377B-42AF-A316-D8DD9D1B5ECE}">
  <dimension ref="A1:M34"/>
  <sheetViews>
    <sheetView workbookViewId="0">
      <selection activeCell="C9" sqref="C9"/>
    </sheetView>
  </sheetViews>
  <sheetFormatPr defaultRowHeight="15" x14ac:dyDescent="0.25"/>
  <cols>
    <col min="1" max="1" width="19.42578125" bestFit="1" customWidth="1"/>
    <col min="3" max="3" width="11.7109375" customWidth="1"/>
    <col min="4" max="4" width="10.85546875" customWidth="1"/>
    <col min="5" max="5" width="12" customWidth="1"/>
    <col min="6" max="6" width="17.42578125" customWidth="1"/>
  </cols>
  <sheetData>
    <row r="1" spans="1:13" s="12" customFormat="1" ht="32.1" customHeight="1" x14ac:dyDescent="0.35">
      <c r="A1" s="11" t="s">
        <v>113</v>
      </c>
      <c r="B1" s="11"/>
      <c r="C1" s="11"/>
      <c r="D1" s="11"/>
      <c r="E1" s="11"/>
      <c r="F1" s="11"/>
      <c r="G1" s="59"/>
      <c r="H1" s="59"/>
      <c r="I1" s="59"/>
      <c r="J1" s="59"/>
      <c r="K1" s="59"/>
      <c r="L1" s="59"/>
      <c r="M1" s="59"/>
    </row>
    <row r="2" spans="1:13" ht="18.9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32.1" customHeight="1" x14ac:dyDescent="0.25">
      <c r="A3" s="21" t="s">
        <v>62</v>
      </c>
      <c r="B3" s="21" t="s">
        <v>114</v>
      </c>
      <c r="C3" s="21" t="s">
        <v>115</v>
      </c>
      <c r="D3" s="21" t="s">
        <v>116</v>
      </c>
      <c r="E3" s="21" t="s">
        <v>117</v>
      </c>
      <c r="F3" s="21" t="s">
        <v>118</v>
      </c>
      <c r="G3" s="5"/>
      <c r="H3" s="5"/>
      <c r="I3" s="5"/>
      <c r="J3" s="5"/>
      <c r="K3" s="5"/>
      <c r="L3" s="5"/>
      <c r="M3" s="5"/>
    </row>
    <row r="4" spans="1:13" ht="18.95" customHeight="1" x14ac:dyDescent="0.25">
      <c r="A4" s="5" t="s">
        <v>77</v>
      </c>
      <c r="B4" s="9">
        <v>44210.908592803942</v>
      </c>
      <c r="C4" s="9">
        <v>42923.21222602325</v>
      </c>
      <c r="D4" s="9">
        <v>-1287.6963667806922</v>
      </c>
      <c r="E4" s="6">
        <v>-2.9126213592232893E-2</v>
      </c>
      <c r="F4" s="68" t="inlineStr">
        <is>
          <t xml:space="preserve">Unfavourable</t>
        </is>
      </c>
      <c r="G4" s="5"/>
      <c r="H4" s="5"/>
      <c r="I4" s="5"/>
      <c r="J4" s="5"/>
      <c r="K4" s="5"/>
      <c r="L4" s="5"/>
      <c r="M4" s="5"/>
    </row>
    <row r="5" spans="1:13" ht="18.95" customHeight="1" x14ac:dyDescent="0.25">
      <c r="A5" s="5" t="s">
        <v>53</v>
      </c>
      <c r="B5" s="9">
        <v>26634.913781517316</v>
      </c>
      <c r="C5" s="9">
        <v>26073.755654836248</v>
      </c>
      <c r="D5" s="9">
        <v>-561.1581266810681</v>
      </c>
      <c r="E5" s="6">
        <v>-2.1068516732743126E-2</v>
      </c>
      <c r="F5" s="69" t="inlineStr">
        <is>
          <t xml:space="preserve">Favourable</t>
        </is>
      </c>
      <c r="G5" s="5"/>
      <c r="H5" s="5"/>
      <c r="I5" s="5"/>
      <c r="J5" s="5"/>
      <c r="K5" s="5"/>
      <c r="L5" s="5"/>
      <c r="M5" s="5"/>
    </row>
    <row r="6" spans="1:13" ht="18.95" customHeight="1" x14ac:dyDescent="0.25">
      <c r="A6" s="5" t="s">
        <v>78</v>
      </c>
      <c r="B6" s="9">
        <v>17575.99481128663</v>
      </c>
      <c r="C6" s="9">
        <v>16849.456571187002</v>
      </c>
      <c r="D6" s="9">
        <v>-726.53824009962773</v>
      </c>
      <c r="E6" s="6">
        <v>-4.13369625958852E-2</v>
      </c>
      <c r="F6" s="68" t="inlineStr">
        <is>
          <t xml:space="preserve">Unfavourable</t>
        </is>
      </c>
      <c r="G6" s="5"/>
      <c r="H6" s="5"/>
      <c r="I6" s="5"/>
      <c r="J6" s="5"/>
      <c r="K6" s="5"/>
      <c r="L6" s="5"/>
      <c r="M6" s="5"/>
    </row>
    <row r="7" spans="1:13" ht="18.95" customHeight="1" x14ac:dyDescent="0.25">
      <c r="A7" s="5" t="s">
        <v>79</v>
      </c>
      <c r="B7" s="6">
        <v>0.397548826086497</v>
      </c>
      <c r="C7" s="6">
        <v>0.39254882608649699</v>
      </c>
      <c r="D7" s="6">
        <v>-5.0000000000000044E-3</v>
      </c>
      <c r="E7" s="6">
        <v>-1.2577071473761881E-2</v>
      </c>
      <c r="F7" s="68" t="inlineStr">
        <is>
          <t xml:space="preserve">Unfavourable</t>
        </is>
      </c>
      <c r="G7" s="5"/>
      <c r="H7" s="5"/>
      <c r="I7" s="5"/>
      <c r="J7" s="5"/>
      <c r="K7" s="5"/>
      <c r="L7" s="5"/>
      <c r="M7" s="5"/>
    </row>
    <row r="8" spans="1:13" ht="18.95" customHeight="1" x14ac:dyDescent="0.25">
      <c r="A8" s="5" t="s">
        <v>54</v>
      </c>
      <c r="B8" s="9">
        <v>3487.5420198171832</v>
      </c>
      <c r="C8" s="9" cm="1">
        <v>3419.1588429580233</v>
      </c>
      <c r="D8" s="9">
        <v>-68.383176859159903</v>
      </c>
      <c r="E8" s="6">
        <v>-1.9607843137254742E-2</v>
      </c>
      <c r="F8" s="69" t="inlineStr">
        <is>
          <t xml:space="preserve">Favourable</t>
        </is>
      </c>
      <c r="G8" s="5"/>
      <c r="H8" s="5"/>
      <c r="I8" s="5"/>
      <c r="J8" s="5"/>
      <c r="K8" s="5"/>
      <c r="L8" s="5"/>
      <c r="M8" s="5"/>
    </row>
    <row r="9" spans="1:13" ht="18.95" customHeight="1" x14ac:dyDescent="0.25">
      <c r="A9" s="5" t="s">
        <v>55</v>
      </c>
      <c r="B9" s="9">
        <v>2873.7090585322567</v>
      </c>
      <c r="C9" s="9" cm="1">
        <v>2575.3927335613944</v>
      </c>
      <c r="D9" s="9">
        <v>-298.3163249708623</v>
      </c>
      <c r="E9" s="6">
        <v>-0.10380881254667687</v>
      </c>
      <c r="F9" s="69" t="inlineStr">
        <is>
          <t xml:space="preserve">Favourable</t>
        </is>
      </c>
      <c r="G9" s="5"/>
      <c r="H9" s="5"/>
      <c r="I9" s="5"/>
      <c r="J9" s="5"/>
      <c r="K9" s="5"/>
      <c r="L9" s="5"/>
      <c r="M9" s="5"/>
    </row>
    <row r="10" spans="1:13" ht="18.95" customHeight="1" x14ac:dyDescent="0.25">
      <c r="A10" s="5" t="s">
        <v>56</v>
      </c>
      <c r="B10" s="9">
        <v>2029.2292248014724</v>
      </c>
      <c r="C10" s="9" cm="1">
        <v>2070.6420661239513</v>
      </c>
      <c r="D10" s="9">
        <v>41.412841322478926</v>
      </c>
      <c r="E10" s="6">
        <v>2.0408163265306072E-2</v>
      </c>
      <c r="F10" s="68" t="inlineStr">
        <is>
          <t xml:space="preserve">Unfavourable</t>
        </is>
      </c>
      <c r="G10" s="5"/>
      <c r="H10" s="5"/>
      <c r="I10" s="5"/>
      <c r="J10" s="5"/>
      <c r="K10" s="5"/>
      <c r="L10" s="5"/>
      <c r="M10" s="5"/>
    </row>
    <row r="11" spans="1:13" ht="18.95" customHeight="1" x14ac:dyDescent="0.25">
      <c r="A11" s="5" t="s">
        <v>80</v>
      </c>
      <c r="B11" s="9">
        <v>9185.5145081357168</v>
      </c>
      <c r="C11" s="9" cm="1">
        <v>8784.2629285436306</v>
      </c>
      <c r="D11" s="9">
        <v>-401.25157959208627</v>
      </c>
      <c r="E11" s="6">
        <v>-4.3683081577705105E-2</v>
      </c>
      <c r="F11" s="68" t="inlineStr">
        <is>
          <t xml:space="preserve">Unfavourable</t>
        </is>
      </c>
      <c r="G11" s="5"/>
      <c r="H11" s="5"/>
      <c r="I11" s="5"/>
      <c r="J11" s="5"/>
      <c r="K11" s="5"/>
      <c r="L11" s="5"/>
      <c r="M11" s="5"/>
    </row>
    <row r="12" spans="1:13" ht="18.95" customHeight="1" x14ac:dyDescent="0.25">
      <c r="A12" s="5" t="s">
        <v>81</v>
      </c>
      <c r="B12" s="6">
        <v>0.2077657935677624</v>
      </c>
      <c r="C12" s="6">
        <v>0.20465064176203374</v>
      </c>
      <c r="D12" s="6">
        <v>-3.1151518057286609E-3</v>
      </c>
      <c r="E12" s="6">
        <v>-1.4993574025036323E-2</v>
      </c>
      <c r="F12" s="68" t="inlineStr">
        <is>
          <t xml:space="preserve">Unfavourable</t>
        </is>
      </c>
      <c r="G12" s="5"/>
      <c r="H12" s="5"/>
      <c r="I12" s="5"/>
      <c r="J12" s="5"/>
      <c r="K12" s="5"/>
      <c r="L12" s="5"/>
      <c r="M12" s="5"/>
    </row>
    <row r="13" spans="1:13" ht="18.95" customHeight="1" x14ac:dyDescent="0.25">
      <c r="A13" s="5" t="s">
        <v>86</v>
      </c>
      <c r="B13" s="9">
        <v>6167.6116065085735</v>
      </c>
      <c r="C13" s="9" cm="1">
        <v>5846.6103428349033</v>
      </c>
      <c r="D13" s="9">
        <v>-321.00126367367011</v>
      </c>
      <c r="E13" s="6">
        <v>-5.2046283740520081E-2</v>
      </c>
      <c r="F13" s="68" t="inlineStr">
        <is>
          <t xml:space="preserve">Unfavourable</t>
        </is>
      </c>
      <c r="G13" s="5"/>
      <c r="H13" s="5"/>
      <c r="I13" s="5"/>
      <c r="J13" s="5"/>
      <c r="K13" s="5"/>
      <c r="L13" s="5"/>
      <c r="M13" s="5"/>
    </row>
    <row r="14" spans="1:13" ht="18.95" customHeight="1" x14ac:dyDescent="0.25">
      <c r="A14" s="5" t="s">
        <v>58</v>
      </c>
      <c r="B14" s="9">
        <v>1856.8581608977661</v>
      </c>
      <c r="C14" s="9" cm="1">
        <v>1716.9284890409299</v>
      </c>
      <c r="D14" s="9">
        <v>-139.92967185683619</v>
      </c>
      <c r="E14" s="6">
        <v>-7.535829865926974E-2</v>
      </c>
      <c r="F14" s="69" t="inlineStr">
        <is>
          <t xml:space="preserve">Favourable</t>
        </is>
      </c>
      <c r="G14" s="5"/>
      <c r="H14" s="5"/>
      <c r="I14" s="5"/>
      <c r="J14" s="5"/>
      <c r="K14" s="5"/>
      <c r="L14" s="5"/>
      <c r="M14" s="5"/>
    </row>
    <row r="15" spans="1:13" ht="18.95" customHeight="1" x14ac:dyDescent="0.25">
      <c r="A15" s="5" t="s">
        <v>94</v>
      </c>
      <c r="B15" s="9">
        <v>4426.2757513095239</v>
      </c>
      <c r="C15" s="9" cm="1">
        <v>4402.8303624005912</v>
      </c>
      <c r="D15" s="9">
        <v>-23.445388908932728</v>
      </c>
      <c r="E15" s="6">
        <v>-5.296865858842246E-3</v>
      </c>
      <c r="F15" s="68" t="inlineStr">
        <is>
          <t xml:space="preserve">Unfavourable</t>
        </is>
      </c>
      <c r="G15" s="5"/>
      <c r="H15" s="5"/>
      <c r="I15" s="5"/>
      <c r="J15" s="5"/>
      <c r="K15" s="5"/>
      <c r="L15" s="5"/>
      <c r="M15" s="5"/>
    </row>
    <row r="16" spans="1:13" ht="18.9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18.9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8.95" customHeight="1" x14ac:dyDescent="0.25">
      <c r="A18" s="38" t="s">
        <v>119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1:13" ht="18.95" customHeight="1" x14ac:dyDescent="0.25">
      <c r="A19" s="35" t="s">
        <v>62</v>
      </c>
      <c r="B19" s="67">
        <v>46418</v>
      </c>
      <c r="C19" s="67">
        <v>46446</v>
      </c>
      <c r="D19" s="67">
        <v>46477</v>
      </c>
      <c r="E19" s="67">
        <v>46507</v>
      </c>
      <c r="F19" s="67">
        <v>46538</v>
      </c>
      <c r="G19" s="67">
        <v>46568</v>
      </c>
      <c r="H19" s="67">
        <v>46599</v>
      </c>
      <c r="I19" s="67">
        <v>46630</v>
      </c>
      <c r="J19" s="67">
        <v>46660</v>
      </c>
      <c r="K19" s="67">
        <v>46691</v>
      </c>
      <c r="L19" s="67">
        <v>46721</v>
      </c>
      <c r="M19" s="67">
        <v>46752</v>
      </c>
    </row>
    <row r="20" spans="1:13" ht="18.95" customHeight="1" x14ac:dyDescent="0.25">
      <c r="A20" s="5" t="s">
        <v>77</v>
      </c>
      <c r="B20" s="9">
        <v>-101.51360747139915</v>
      </c>
      <c r="C20" s="9">
        <v>-102.53025267681369</v>
      </c>
      <c r="D20" s="9">
        <v>-103.55768780903691</v>
      </c>
      <c r="E20" s="9">
        <v>-104.5960332434438</v>
      </c>
      <c r="F20" s="9">
        <v>-105.64541075459829</v>
      </c>
      <c r="G20" s="9">
        <v>-106.70594353306569</v>
      </c>
      <c r="H20" s="9">
        <v>-107.77775620243256</v>
      </c>
      <c r="I20" s="9">
        <v>-108.86097483653703</v>
      </c>
      <c r="J20" s="9">
        <v>-109.95572697691205</v>
      </c>
      <c r="K20" s="9">
        <v>-111.06214165044366</v>
      </c>
      <c r="L20" s="9">
        <v>-112.18034938724804</v>
      </c>
      <c r="M20" s="9">
        <v>-113.31048223876815</v>
      </c>
    </row>
    <row r="21" spans="1:13" ht="18.95" customHeight="1" x14ac:dyDescent="0.25">
      <c r="A21" s="5" t="s">
        <v>80</v>
      </c>
      <c r="B21" s="9">
        <v>-32.971475299190615</v>
      </c>
      <c r="C21" s="9">
        <v>-33.064123065672675</v>
      </c>
      <c r="D21" s="9">
        <v>-33.154565266203008</v>
      </c>
      <c r="E21" s="9">
        <v>-33.24273227823403</v>
      </c>
      <c r="F21" s="9">
        <v>-33.328553010780524</v>
      </c>
      <c r="G21" s="9">
        <v>-33.411954876809091</v>
      </c>
      <c r="H21" s="9">
        <v>-33.492863765121456</v>
      </c>
      <c r="I21" s="9">
        <v>-33.571204011738701</v>
      </c>
      <c r="J21" s="9">
        <v>-33.646898370770145</v>
      </c>
      <c r="K21" s="9">
        <v>-33.719867984759276</v>
      </c>
      <c r="L21" s="9">
        <v>-33.790032354499999</v>
      </c>
      <c r="M21" s="9">
        <v>-33.857309308307322</v>
      </c>
    </row>
    <row r="22" spans="1:13" ht="18.95" customHeight="1" x14ac:dyDescent="0.25">
      <c r="A22" s="5" t="s">
        <v>94</v>
      </c>
      <c r="B22" s="9">
        <v>124.52125204317144</v>
      </c>
      <c r="C22" s="9">
        <v>-13.787566127724119</v>
      </c>
      <c r="D22" s="9">
        <v>-13.730486247079739</v>
      </c>
      <c r="E22" s="9">
        <v>-13.67017941977582</v>
      </c>
      <c r="F22" s="9">
        <v>-13.606572637585487</v>
      </c>
      <c r="G22" s="9">
        <v>-13.539591501695156</v>
      </c>
      <c r="H22" s="9">
        <v>-13.469160197798089</v>
      </c>
      <c r="I22" s="9">
        <v>-13.395201470747224</v>
      </c>
      <c r="J22" s="9">
        <v>-13.317636598764409</v>
      </c>
      <c r="K22" s="9">
        <v>-13.236385367204946</v>
      </c>
      <c r="L22" s="9">
        <v>-13.151366041878134</v>
      </c>
      <c r="M22" s="9">
        <v>-13.062495341850479</v>
      </c>
    </row>
    <row r="25" spans="1:13" x14ac:dyDescent="0.25">
      <c r="A25" s="74" t="s">
        <v>120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</row>
    <row r="26" spans="1:13" x14ac:dyDescent="0.25">
      <c r="A26" s="75" t="s">
        <v>62</v>
      </c>
      <c r="B26" s="76">
        <v>46418</v>
      </c>
      <c r="C26" s="76">
        <v>46446</v>
      </c>
      <c r="D26" s="76">
        <v>46477</v>
      </c>
      <c r="E26" s="76">
        <v>46507</v>
      </c>
      <c r="F26" s="76">
        <v>46538</v>
      </c>
      <c r="G26" s="76">
        <v>46568</v>
      </c>
      <c r="H26" s="76">
        <v>46599</v>
      </c>
      <c r="I26" s="76">
        <v>46630</v>
      </c>
      <c r="J26" s="76">
        <v>46660</v>
      </c>
      <c r="K26" s="76">
        <v>46691</v>
      </c>
      <c r="L26" s="76">
        <v>46721</v>
      </c>
      <c r="M26" s="76">
        <v>46752</v>
      </c>
    </row>
    <row r="27" spans="1:13" x14ac:dyDescent="0.25">
      <c r="A27" s="77" t="s">
        <v>109</v>
      </c>
      <c r="B27" s="78">
        <v>3485.3005231847001</v>
      </c>
      <c r="C27" s="78">
        <v>3520.2053419039275</v>
      </c>
      <c r="D27" s="78">
        <v>3555.4806147769259</v>
      </c>
      <c r="E27" s="78">
        <v>3591.1304746915662</v>
      </c>
      <c r="F27" s="78">
        <v>3627.1591025745379</v>
      </c>
      <c r="G27" s="78">
        <v>3663.5707279685826</v>
      </c>
      <c r="H27" s="78">
        <v>3700.3696296168432</v>
      </c>
      <c r="I27" s="78">
        <v>3737.560136054432</v>
      </c>
      <c r="J27" s="78">
        <v>3775.1466262073109</v>
      </c>
      <c r="K27" s="78">
        <v>3813.1335299985662</v>
      </c>
      <c r="L27" s="78">
        <v>3851.5253289621787</v>
      </c>
      <c r="M27" s="78">
        <v>3890.326556864376</v>
      </c>
    </row>
    <row r="28" spans="1:13" x14ac:dyDescent="0.25">
      <c r="A28" t="s">
        <v>108</v>
      </c>
      <c r="B28" s="3">
        <v>3383.7869157133009</v>
      </c>
      <c r="C28" s="3">
        <v>3417.6750892271139</v>
      </c>
      <c r="D28" s="3">
        <v>3451.922926967889</v>
      </c>
      <c r="E28" s="3">
        <v>3486.5344414481224</v>
      </c>
      <c r="F28" s="3">
        <v>3521.5136918199396</v>
      </c>
      <c r="G28" s="3">
        <v>3556.8647844355169</v>
      </c>
      <c r="H28" s="3">
        <v>3592.5918734144107</v>
      </c>
      <c r="I28" s="3">
        <v>3628.6991612178949</v>
      </c>
      <c r="J28" s="3">
        <v>3665.1908992303988</v>
      </c>
      <c r="K28" s="3">
        <v>3702.0713883481226</v>
      </c>
      <c r="L28" s="3">
        <v>3739.3449795749307</v>
      </c>
      <c r="M28" s="3">
        <v>3777.0160746256079</v>
      </c>
    </row>
    <row r="30" spans="1:13" x14ac:dyDescent="0.25">
      <c r="A30" s="77" t="s">
        <v>121</v>
      </c>
      <c r="B30" s="78">
        <v>757.27292971666395</v>
      </c>
      <c r="C30" s="78">
        <v>759.05068895847285</v>
      </c>
      <c r="D30" s="78">
        <v>760.74727666958802</v>
      </c>
      <c r="E30" s="78">
        <v>762.36028046913316</v>
      </c>
      <c r="F30" s="78">
        <v>763.88723746736287</v>
      </c>
      <c r="G30" s="78">
        <v>765.32563331710503</v>
      </c>
      <c r="H30" s="78">
        <v>766.67290124815531</v>
      </c>
      <c r="I30" s="78">
        <v>767.92642108434211</v>
      </c>
      <c r="J30" s="78">
        <v>769.08351824295835</v>
      </c>
      <c r="K30" s="78">
        <v>770.14146271623633</v>
      </c>
      <c r="L30" s="78">
        <v>771.09746803456903</v>
      </c>
      <c r="M30" s="78">
        <v>771.94869021112993</v>
      </c>
    </row>
    <row r="31" spans="1:13" x14ac:dyDescent="0.25">
      <c r="A31" t="s">
        <v>122</v>
      </c>
      <c r="B31" s="3">
        <v>724.30145441747334</v>
      </c>
      <c r="C31" s="3">
        <v>725.98656589280017</v>
      </c>
      <c r="D31" s="3">
        <v>727.59271140338501</v>
      </c>
      <c r="E31" s="3">
        <v>729.11754819089913</v>
      </c>
      <c r="F31" s="3">
        <v>730.55868445658234</v>
      </c>
      <c r="G31" s="3">
        <v>731.91367844029594</v>
      </c>
      <c r="H31" s="3">
        <v>733.18003748303386</v>
      </c>
      <c r="I31" s="3">
        <v>734.35521707260341</v>
      </c>
      <c r="J31" s="3">
        <v>735.4366198721882</v>
      </c>
      <c r="K31" s="3">
        <v>736.42159473147706</v>
      </c>
      <c r="L31" s="3">
        <v>737.30743568006903</v>
      </c>
      <c r="M31" s="3">
        <v>738.09138090282261</v>
      </c>
    </row>
    <row r="33" spans="1:13" x14ac:dyDescent="0.25">
      <c r="A33" s="77" t="s">
        <v>123</v>
      </c>
      <c r="B33" s="78">
        <v>262.03297862890793</v>
      </c>
      <c r="C33" s="78">
        <v>383.82402924849151</v>
      </c>
      <c r="D33" s="78">
        <v>383.05822475275846</v>
      </c>
      <c r="E33" s="78">
        <v>382.20188119867913</v>
      </c>
      <c r="F33" s="78">
        <v>381.25274901626119</v>
      </c>
      <c r="G33" s="78">
        <v>380.20853401060333</v>
      </c>
      <c r="H33" s="78">
        <v>379.06689654471245</v>
      </c>
      <c r="I33" s="78">
        <v>377.82545070784852</v>
      </c>
      <c r="J33" s="78">
        <v>376.48176346915949</v>
      </c>
      <c r="K33" s="78">
        <v>375.03335381633116</v>
      </c>
      <c r="L33" s="78">
        <v>373.47769187901861</v>
      </c>
      <c r="M33" s="78">
        <v>371.81219803675208</v>
      </c>
    </row>
    <row r="34" spans="1:13" x14ac:dyDescent="0.25">
      <c r="A34" t="s">
        <v>124</v>
      </c>
      <c r="B34" s="3">
        <v>386.55423067207937</v>
      </c>
      <c r="C34" s="3">
        <v>370.03646312076739</v>
      </c>
      <c r="D34" s="3">
        <v>369.32773850567872</v>
      </c>
      <c r="E34" s="3">
        <v>368.53170177890331</v>
      </c>
      <c r="F34" s="3">
        <v>367.6461763786757</v>
      </c>
      <c r="G34" s="3">
        <v>366.66894250890817</v>
      </c>
      <c r="H34" s="3">
        <v>365.59773634691436</v>
      </c>
      <c r="I34" s="3">
        <v>364.43024923710129</v>
      </c>
      <c r="J34" s="3">
        <v>363.16412687039508</v>
      </c>
      <c r="K34" s="3">
        <v>361.79696844912621</v>
      </c>
      <c r="L34" s="3">
        <v>360.32632583714047</v>
      </c>
      <c r="M34" s="3">
        <v>358.7497026949016</v>
      </c>
    </row>
  </sheetData>
  <mergeCells count="2">
    <mergeCell ref="A1:F1"/>
    <mergeCell ref="A25:M25"/>
  </mergeCells>
  <conditionalFormatting sqref="D4:D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{FAF25AD9-196C-4399-9FB8-C10F37AD2A52}</x14:id>
        </ext>
      </extLst>
    </cfRule>
  </conditionalFormatting>
  <conditionalFormatting sqref="B20:M22">
    <cfRule type="colorScale" priority="2">
      <colorScale>
        <cfvo type="min"/>
        <cfvo type="num" val="0"/>
        <cfvo type="max"/>
        <color rgb="FFF8D7DA"/>
        <color rgb="FFFFF2CC"/>
        <color rgb="FFDDEFE8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F25AD9-196C-4399-9FB8-C10F37AD2A52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D4:D15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E3E2-F0FF-4E3B-88AC-3379C610B309}">
  <dimension ref="B2:Q46"/>
  <sheetViews>
    <sheetView topLeftCell="A21" workbookViewId="0">
      <selection activeCell="J14" sqref="J14"/>
    </sheetView>
  </sheetViews>
  <sheetFormatPr defaultRowHeight="15" x14ac:dyDescent="0.25"/>
  <cols>
    <col min="1" max="1" width="3.42578125" customWidth="1"/>
    <col min="2" max="17" width="12.5703125" customWidth="1"/>
  </cols>
  <sheetData>
    <row r="2" spans="2:17" ht="38.1" customHeight="1" x14ac:dyDescent="0.45">
      <c r="B2" s="50" t="s">
        <v>155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</row>
    <row r="3" spans="2:17" x14ac:dyDescent="0.25">
      <c r="B3" s="52" t="s">
        <v>156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</row>
    <row r="4" spans="2:17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x14ac:dyDescent="0.25">
      <c r="B5" s="53" t="s">
        <v>157</v>
      </c>
      <c r="C5" s="53"/>
      <c r="D5" s="53"/>
      <c r="E5" s="53"/>
      <c r="F5" s="53" t="s">
        <v>158</v>
      </c>
      <c r="G5" s="53"/>
      <c r="H5" s="53"/>
      <c r="I5" s="53"/>
      <c r="J5" s="53" t="s">
        <v>159</v>
      </c>
      <c r="K5" s="53"/>
      <c r="L5" s="53"/>
      <c r="M5" s="53"/>
      <c r="N5" s="70" t="s">
        <v>160</v>
      </c>
      <c r="O5" s="70"/>
      <c r="P5" s="70"/>
      <c r="Q5" s="70"/>
    </row>
    <row r="6" spans="2:17" ht="27" customHeight="1" x14ac:dyDescent="0.25">
      <c r="B6" s="71">
        <v>-63.598671000007016</v>
      </c>
      <c r="C6" s="72"/>
      <c r="D6" s="72"/>
      <c r="E6" s="72"/>
      <c r="F6" s="71">
        <v>-212.64934893836198</v>
      </c>
      <c r="G6" s="72"/>
      <c r="H6" s="72"/>
      <c r="I6" s="72"/>
      <c r="J6" s="71">
        <v>-1287.6963667806922</v>
      </c>
      <c r="K6" s="72"/>
      <c r="L6" s="72"/>
      <c r="M6" s="72"/>
      <c r="N6" s="71">
        <v>-401.25157959208627</v>
      </c>
      <c r="O6" s="72"/>
      <c r="P6" s="72"/>
      <c r="Q6" s="72"/>
    </row>
    <row r="7" spans="2:17" ht="27" customHeight="1" x14ac:dyDescent="0.25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</row>
    <row r="8" spans="2:17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2:17" x14ac:dyDescent="0.25">
      <c r="B9" s="53" t="s">
        <v>161</v>
      </c>
      <c r="C9" s="53"/>
      <c r="D9" s="53"/>
      <c r="E9" s="53"/>
      <c r="F9" s="53" t="s">
        <v>162</v>
      </c>
      <c r="G9" s="53"/>
      <c r="H9" s="53"/>
      <c r="I9" s="53"/>
      <c r="J9" s="53" t="s">
        <v>163</v>
      </c>
      <c r="K9" s="53"/>
      <c r="L9" s="53"/>
      <c r="M9" s="53"/>
      <c r="N9" s="70" t="s">
        <v>164</v>
      </c>
      <c r="O9" s="70"/>
      <c r="P9" s="70"/>
      <c r="Q9" s="70"/>
    </row>
    <row r="10" spans="2:17" ht="27" customHeight="1" x14ac:dyDescent="0.25">
      <c r="B10" s="71">
        <v>-348.74467462773782</v>
      </c>
      <c r="C10" s="72"/>
      <c r="D10" s="72"/>
      <c r="E10" s="72"/>
      <c r="F10" s="71">
        <v>-23.445388908932728</v>
      </c>
      <c r="G10" s="72"/>
      <c r="H10" s="72"/>
      <c r="I10" s="72"/>
      <c r="J10" s="73" t="inlineStr">
        <is>
          <t xml:space="preserve">Action required</t>
        </is>
      </c>
      <c r="K10" s="73"/>
      <c r="L10" s="73"/>
      <c r="M10" s="73"/>
      <c r="N10" s="73" t="inlineStr">
        <is>
          <t xml:space="preserve">Action required</t>
        </is>
      </c>
      <c r="O10" s="73"/>
      <c r="P10" s="73"/>
      <c r="Q10" s="73"/>
    </row>
    <row r="11" spans="2:17" ht="27" customHeight="1" x14ac:dyDescent="0.25">
      <c r="B11" s="72"/>
      <c r="C11" s="72"/>
      <c r="D11" s="72"/>
      <c r="E11" s="72"/>
      <c r="F11" s="72"/>
      <c r="G11" s="72"/>
      <c r="H11" s="72"/>
      <c r="I11" s="72"/>
      <c r="J11" s="73"/>
      <c r="K11" s="73"/>
      <c r="L11" s="73"/>
      <c r="M11" s="73"/>
      <c r="N11" s="73"/>
      <c r="O11" s="73"/>
      <c r="P11" s="73"/>
      <c r="Q11" s="73"/>
    </row>
    <row r="12" spans="2:17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2:17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2:17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2:17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2:17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2:17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2:17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2:17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2:17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2:17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2:17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2:17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2:17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2:17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7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2:17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2:17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2:17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2:17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2:17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2:17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2:17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2:17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2:17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2:17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2:17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2:17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2:17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2:17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2:17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2:17" x14ac:dyDescent="0.2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2:17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2:17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2:17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2:17" x14ac:dyDescent="0.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</sheetData>
  <mergeCells count="18">
    <mergeCell ref="N9:Q9"/>
    <mergeCell ref="N10:Q11"/>
    <mergeCell ref="B9:E9"/>
    <mergeCell ref="B10:E11"/>
    <mergeCell ref="F9:I9"/>
    <mergeCell ref="F10:I11"/>
    <mergeCell ref="J9:M9"/>
    <mergeCell ref="J10:M11"/>
    <mergeCell ref="B2:Q2"/>
    <mergeCell ref="B3:Q3"/>
    <mergeCell ref="B5:E5"/>
    <mergeCell ref="B6:E7"/>
    <mergeCell ref="F5:I5"/>
    <mergeCell ref="F6:I7"/>
    <mergeCell ref="J5:M5"/>
    <mergeCell ref="J6:M7"/>
    <mergeCell ref="N5:Q5"/>
    <mergeCell ref="N6:Q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67F5-AAFA-4A59-B421-D6356BAAB34E}">
  <dimension ref="A1:M46"/>
  <sheetViews>
    <sheetView workbookViewId="0">
      <pane ySplit="17" topLeftCell="A18" activePane="bottomLeft" state="frozen"/>
      <selection pane="bottomLeft" activeCell="J14" sqref="J14"/>
    </sheetView>
  </sheetViews>
  <sheetFormatPr defaultRowHeight="15" x14ac:dyDescent="0.25"/>
  <cols>
    <col min="1" max="1" width="34.28515625" customWidth="1"/>
    <col min="2" max="13" width="14.42578125" customWidth="1"/>
  </cols>
  <sheetData>
    <row r="1" spans="1:13" s="12" customFormat="1" ht="32.1" customHeight="1" x14ac:dyDescent="0.35">
      <c r="A1" s="11" t="s">
        <v>125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8.9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8.95" customHeight="1" x14ac:dyDescent="0.25">
      <c r="A3" s="13" t="s">
        <v>101</v>
      </c>
      <c r="B3" s="13" t="s">
        <v>102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8.95" customHeight="1" x14ac:dyDescent="0.25">
      <c r="A4" s="5" t="s">
        <v>103</v>
      </c>
      <c r="B4" s="15">
        <v>2026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8.95" customHeight="1" x14ac:dyDescent="0.25">
      <c r="A5" s="5" t="s">
        <v>126</v>
      </c>
      <c r="B5" s="60">
        <v>0.03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8.95" customHeight="1" x14ac:dyDescent="0.25">
      <c r="A6" s="5" t="s">
        <v>127</v>
      </c>
      <c r="B6" s="60">
        <v>-2.5000000000000001E-2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8.95" customHeight="1" x14ac:dyDescent="0.25">
      <c r="A7" s="5" t="s">
        <v>105</v>
      </c>
      <c r="B7" s="60">
        <v>3.0000000000000001E-3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18.95" customHeight="1" x14ac:dyDescent="0.25">
      <c r="A8" s="5" t="s">
        <v>128</v>
      </c>
      <c r="B8" s="60">
        <v>0.01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18.95" customHeight="1" x14ac:dyDescent="0.25">
      <c r="A9" s="5" t="s">
        <v>12</v>
      </c>
      <c r="B9" s="60">
        <v>5.8000000000000003E-2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8.95" customHeight="1" x14ac:dyDescent="0.25">
      <c r="A10" s="5" t="s">
        <v>129</v>
      </c>
      <c r="B10" s="60">
        <v>1.4999999999999999E-2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18.95" customHeight="1" x14ac:dyDescent="0.25">
      <c r="A11" s="5" t="s">
        <v>18</v>
      </c>
      <c r="B11" s="60">
        <v>0.04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18.95" customHeight="1" x14ac:dyDescent="0.25">
      <c r="A12" s="5" t="s">
        <v>19</v>
      </c>
      <c r="B12" s="60">
        <v>0.2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8.95" customHeight="1" x14ac:dyDescent="0.25">
      <c r="A13" s="5" t="s">
        <v>15</v>
      </c>
      <c r="B13" s="61">
        <v>35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18.95" customHeight="1" x14ac:dyDescent="0.25">
      <c r="A14" s="5" t="s">
        <v>16</v>
      </c>
      <c r="B14" s="61">
        <v>45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18.95" customHeight="1" x14ac:dyDescent="0.25">
      <c r="A15" s="5" t="s">
        <v>17</v>
      </c>
      <c r="B15" s="61">
        <v>30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18.9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18.95" customHeight="1" x14ac:dyDescent="0.25">
      <c r="A17" s="62" t="s">
        <v>62</v>
      </c>
      <c r="B17" s="63">
        <v>46053</v>
      </c>
      <c r="C17" s="63">
        <v>46081</v>
      </c>
      <c r="D17" s="63">
        <v>46112</v>
      </c>
      <c r="E17" s="63">
        <v>46142</v>
      </c>
      <c r="F17" s="63">
        <v>46173</v>
      </c>
      <c r="G17" s="63">
        <v>46203</v>
      </c>
      <c r="H17" s="63">
        <v>46234</v>
      </c>
      <c r="I17" s="63">
        <v>46265</v>
      </c>
      <c r="J17" s="63">
        <v>46295</v>
      </c>
      <c r="K17" s="63">
        <v>46326</v>
      </c>
      <c r="L17" s="63">
        <v>46356</v>
      </c>
      <c r="M17" s="63">
        <v>46387</v>
      </c>
    </row>
    <row r="18" spans="1:13" ht="18.95" customHeight="1" x14ac:dyDescent="0.25">
      <c r="A18" s="5" t="s">
        <v>130</v>
      </c>
      <c r="B18" s="9">
        <v>2891.6005</v>
      </c>
      <c r="C18" s="9">
        <v>2930.8661400000001</v>
      </c>
      <c r="D18" s="9">
        <v>2970.3078600000003</v>
      </c>
      <c r="E18" s="9">
        <v>3009.9256599999999</v>
      </c>
      <c r="F18" s="9">
        <v>3049.7195400000001</v>
      </c>
      <c r="G18" s="9">
        <v>3089.6895</v>
      </c>
      <c r="H18" s="9">
        <v>3129.83554</v>
      </c>
      <c r="I18" s="9">
        <v>3170.1576600000003</v>
      </c>
      <c r="J18" s="9">
        <v>3210.6558599999998</v>
      </c>
      <c r="K18" s="9">
        <v>3268.2876400000005</v>
      </c>
      <c r="L18" s="9">
        <v>3309.183</v>
      </c>
      <c r="M18" s="9">
        <v>3350.2544399999997</v>
      </c>
    </row>
    <row r="19" spans="1:13" ht="18.95" customHeight="1" x14ac:dyDescent="0.25">
      <c r="A19" s="34" t="s">
        <v>109</v>
      </c>
      <c r="B19" s="46">
        <v>2978.3485150000001</v>
      </c>
      <c r="C19" s="46">
        <v>3004.1377935000005</v>
      </c>
      <c r="D19" s="46">
        <v>3029.7140172000004</v>
      </c>
      <c r="E19" s="46">
        <v>3055.0745449000001</v>
      </c>
      <c r="F19" s="46">
        <v>3080.2167354000003</v>
      </c>
      <c r="G19" s="46">
        <v>3105.1379475000003</v>
      </c>
      <c r="H19" s="46">
        <v>3129.83554</v>
      </c>
      <c r="I19" s="46">
        <v>3154.3068717000001</v>
      </c>
      <c r="J19" s="46">
        <v>3178.5493013999999</v>
      </c>
      <c r="K19" s="46">
        <v>3219.2633254000002</v>
      </c>
      <c r="L19" s="46">
        <v>3242.9993399999998</v>
      </c>
      <c r="M19" s="46">
        <v>3266.4980789999995</v>
      </c>
    </row>
    <row r="20" spans="1:13" ht="18.95" customHeight="1" x14ac:dyDescent="0.25">
      <c r="A20" s="5" t="s">
        <v>131</v>
      </c>
      <c r="B20" s="9">
        <v>-86.748015000000123</v>
      </c>
      <c r="C20" s="9">
        <v>-73.271653500000411</v>
      </c>
      <c r="D20" s="9">
        <v>-59.406157200000052</v>
      </c>
      <c r="E20" s="9">
        <v>-45.148884900000212</v>
      </c>
      <c r="F20" s="9">
        <v>-30.497195400000237</v>
      </c>
      <c r="G20" s="9">
        <v>-15.448447500000384</v>
      </c>
      <c r="H20" s="9">
        <v>0</v>
      </c>
      <c r="I20" s="9">
        <v>15.850788300000204</v>
      </c>
      <c r="J20" s="9">
        <v>32.106558599999971</v>
      </c>
      <c r="K20" s="9">
        <v>49.024314600000253</v>
      </c>
      <c r="L20" s="9">
        <v>66.183660000000145</v>
      </c>
      <c r="M20" s="9">
        <v>83.756361000000197</v>
      </c>
    </row>
    <row r="21" spans="1:13" ht="18.9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8.95" customHeight="1" x14ac:dyDescent="0.25">
      <c r="A22" s="5" t="s">
        <v>132</v>
      </c>
      <c r="B22" s="9">
        <v>1703.1526944999998</v>
      </c>
      <c r="C22" s="9">
        <v>1729.504109214</v>
      </c>
      <c r="D22" s="9">
        <v>1756.0460068320001</v>
      </c>
      <c r="E22" s="9">
        <v>1782.778968418</v>
      </c>
      <c r="F22" s="9">
        <v>1809.7035750359998</v>
      </c>
      <c r="G22" s="9">
        <v>1836.8204077499997</v>
      </c>
      <c r="H22" s="9">
        <v>1864.1300476240001</v>
      </c>
      <c r="I22" s="9">
        <v>1891.6330757220003</v>
      </c>
      <c r="J22" s="9">
        <v>1919.3300731079999</v>
      </c>
      <c r="K22" s="9">
        <v>1957.3774675959999</v>
      </c>
      <c r="L22" s="9">
        <v>1985.5097999999998</v>
      </c>
      <c r="M22" s="9">
        <v>2013.8379438840002</v>
      </c>
    </row>
    <row r="23" spans="1:13" ht="18.95" customHeight="1" x14ac:dyDescent="0.25">
      <c r="A23" s="5" t="s">
        <v>112</v>
      </c>
      <c r="B23" s="9">
        <v>1745.3122297899999</v>
      </c>
      <c r="C23" s="9">
        <v>1763.7292985638501</v>
      </c>
      <c r="D23" s="9">
        <v>1782.0777849170402</v>
      </c>
      <c r="E23" s="9">
        <v>1800.3554293095701</v>
      </c>
      <c r="F23" s="9">
        <v>1818.5599605801599</v>
      </c>
      <c r="G23" s="9">
        <v>1836.6890959462498</v>
      </c>
      <c r="H23" s="9">
        <v>1854.7405410040001</v>
      </c>
      <c r="I23" s="9">
        <v>1872.7119897282901</v>
      </c>
      <c r="J23" s="9">
        <v>1890.6011244727199</v>
      </c>
      <c r="K23" s="9">
        <v>1918.3590156058597</v>
      </c>
      <c r="L23" s="9">
        <v>1936.0706059799998</v>
      </c>
      <c r="M23" s="9">
        <v>1953.6925010498999</v>
      </c>
    </row>
    <row r="24" spans="1:13" ht="18.95" customHeight="1" x14ac:dyDescent="0.25">
      <c r="A24" s="34" t="s">
        <v>133</v>
      </c>
      <c r="B24" s="46">
        <v>1233.0362852100002</v>
      </c>
      <c r="C24" s="46">
        <v>1240.4084949361504</v>
      </c>
      <c r="D24" s="46">
        <v>1247.6362322829602</v>
      </c>
      <c r="E24" s="46">
        <v>1254.71911559043</v>
      </c>
      <c r="F24" s="46">
        <v>1261.6567748198404</v>
      </c>
      <c r="G24" s="46">
        <v>1268.4488515537505</v>
      </c>
      <c r="H24" s="46">
        <v>1275.094998996</v>
      </c>
      <c r="I24" s="46">
        <v>1281.59488197171</v>
      </c>
      <c r="J24" s="46">
        <v>1287.94817692728</v>
      </c>
      <c r="K24" s="46">
        <v>1300.9043097941405</v>
      </c>
      <c r="L24" s="46">
        <v>1306.9287340200001</v>
      </c>
      <c r="M24" s="46">
        <v>1312.8055779500996</v>
      </c>
    </row>
    <row r="25" spans="1:13" ht="18.95" customHeight="1" x14ac:dyDescent="0.25">
      <c r="A25" s="5" t="s">
        <v>134</v>
      </c>
      <c r="B25" s="6">
        <v>0.41400000000000003</v>
      </c>
      <c r="C25" s="6">
        <v>0.41290000000000004</v>
      </c>
      <c r="D25" s="6">
        <v>0.4118</v>
      </c>
      <c r="E25" s="6">
        <v>0.41069999999999995</v>
      </c>
      <c r="F25" s="6">
        <v>0.40960000000000008</v>
      </c>
      <c r="G25" s="6">
        <v>0.40850000000000014</v>
      </c>
      <c r="H25" s="6">
        <v>0.40739999999999998</v>
      </c>
      <c r="I25" s="6">
        <v>0.40629999999999999</v>
      </c>
      <c r="J25" s="6">
        <v>0.4052</v>
      </c>
      <c r="K25" s="6">
        <v>0.40410000000000013</v>
      </c>
      <c r="L25" s="6">
        <v>0.40300000000000002</v>
      </c>
      <c r="M25" s="6">
        <v>0.40189999999999992</v>
      </c>
    </row>
    <row r="26" spans="1:13" ht="18.9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18.95" customHeight="1" x14ac:dyDescent="0.25">
      <c r="A27" s="5" t="s">
        <v>135</v>
      </c>
      <c r="B27" s="9">
        <v>242.55</v>
      </c>
      <c r="C27" s="9">
        <v>245.322</v>
      </c>
      <c r="D27" s="9">
        <v>248.09399999999999</v>
      </c>
      <c r="E27" s="9">
        <v>250.86600000000001</v>
      </c>
      <c r="F27" s="9">
        <v>253.63799999999998</v>
      </c>
      <c r="G27" s="9">
        <v>256.41000000000003</v>
      </c>
      <c r="H27" s="9">
        <v>259.18200000000002</v>
      </c>
      <c r="I27" s="9">
        <v>261.95400000000001</v>
      </c>
      <c r="J27" s="9">
        <v>264.726</v>
      </c>
      <c r="K27" s="9">
        <v>267.49799999999999</v>
      </c>
      <c r="L27" s="9">
        <v>270.27</v>
      </c>
      <c r="M27" s="9">
        <v>273.04200000000003</v>
      </c>
    </row>
    <row r="28" spans="1:13" ht="18.95" customHeight="1" x14ac:dyDescent="0.25">
      <c r="A28" s="5" t="s">
        <v>136</v>
      </c>
      <c r="B28" s="9">
        <v>172.74421387000001</v>
      </c>
      <c r="C28" s="9">
        <v>174.23999202300004</v>
      </c>
      <c r="D28" s="9">
        <v>175.72341299760004</v>
      </c>
      <c r="E28" s="9">
        <v>177.19432360420001</v>
      </c>
      <c r="F28" s="9">
        <v>178.65257065320003</v>
      </c>
      <c r="G28" s="9">
        <v>180.09800095500003</v>
      </c>
      <c r="H28" s="9">
        <v>181.53046132</v>
      </c>
      <c r="I28" s="9">
        <v>182.94979855860001</v>
      </c>
      <c r="J28" s="9">
        <v>184.35585948120001</v>
      </c>
      <c r="K28" s="9">
        <v>186.71727287320002</v>
      </c>
      <c r="L28" s="9">
        <v>188.09396172000001</v>
      </c>
      <c r="M28" s="9">
        <v>189.45688858199998</v>
      </c>
    </row>
    <row r="29" spans="1:13" ht="18.95" customHeight="1" x14ac:dyDescent="0.25">
      <c r="A29" s="5" t="s">
        <v>137</v>
      </c>
      <c r="B29" s="9">
        <v>151.69</v>
      </c>
      <c r="C29" s="9">
        <v>153.01974999999999</v>
      </c>
      <c r="D29" s="9">
        <v>154.34949999999998</v>
      </c>
      <c r="E29" s="9">
        <v>155.67925</v>
      </c>
      <c r="F29" s="9">
        <v>157.00900000000001</v>
      </c>
      <c r="G29" s="9">
        <v>158.33875</v>
      </c>
      <c r="H29" s="9">
        <v>159.66849999999999</v>
      </c>
      <c r="I29" s="9">
        <v>160.99824999999998</v>
      </c>
      <c r="J29" s="9">
        <v>162.328</v>
      </c>
      <c r="K29" s="9">
        <v>163.65774999999999</v>
      </c>
      <c r="L29" s="9">
        <v>164.98750000000001</v>
      </c>
      <c r="M29" s="9">
        <v>166.31725</v>
      </c>
    </row>
    <row r="30" spans="1:13" ht="18.95" customHeight="1" x14ac:dyDescent="0.25">
      <c r="A30" s="43" t="s">
        <v>138</v>
      </c>
      <c r="B30" s="44">
        <v>666.05207134000011</v>
      </c>
      <c r="C30" s="44">
        <v>667.82675291315036</v>
      </c>
      <c r="D30" s="44">
        <v>669.46931928536014</v>
      </c>
      <c r="E30" s="44">
        <v>670.97954198622995</v>
      </c>
      <c r="F30" s="44">
        <v>672.35720416664037</v>
      </c>
      <c r="G30" s="44">
        <v>673.60210059875044</v>
      </c>
      <c r="H30" s="44">
        <v>674.71403767599998</v>
      </c>
      <c r="I30" s="44">
        <v>675.69283341311007</v>
      </c>
      <c r="J30" s="44">
        <v>676.53831744607999</v>
      </c>
      <c r="K30" s="44">
        <v>683.0312869209406</v>
      </c>
      <c r="L30" s="44">
        <v>683.5772723</v>
      </c>
      <c r="M30" s="44">
        <v>683.98943936809962</v>
      </c>
    </row>
    <row r="31" spans="1:13" ht="18.95" customHeight="1" x14ac:dyDescent="0.25">
      <c r="A31" s="5" t="s">
        <v>139</v>
      </c>
      <c r="B31" s="6">
        <v>0.22363134065255627</v>
      </c>
      <c r="C31" s="6">
        <v>0.22230230396159431</v>
      </c>
      <c r="D31" s="6">
        <v>0.22096782583594143</v>
      </c>
      <c r="E31" s="6">
        <v>0.21962787883730436</v>
      </c>
      <c r="F31" s="6">
        <v>0.2182824333234224</v>
      </c>
      <c r="G31" s="6">
        <v>0.21693145747069917</v>
      </c>
      <c r="H31" s="6">
        <v>0.21557491729293865</v>
      </c>
      <c r="I31" s="6">
        <v>0.21421277665636518</v>
      </c>
      <c r="J31" s="6">
        <v>0.21284499729109033</v>
      </c>
      <c r="K31" s="6">
        <v>0.21217005814088616</v>
      </c>
      <c r="L31" s="6">
        <v>0.21078551076732566</v>
      </c>
      <c r="M31" s="6">
        <v>0.2093953288279585</v>
      </c>
    </row>
    <row r="32" spans="1:13" ht="18.9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18.95" customHeight="1" x14ac:dyDescent="0.25">
      <c r="A33" s="5" t="s">
        <v>140</v>
      </c>
      <c r="B33" s="9">
        <v>76</v>
      </c>
      <c r="C33" s="9">
        <v>76.75</v>
      </c>
      <c r="D33" s="9">
        <v>77.5</v>
      </c>
      <c r="E33" s="9">
        <v>78.25</v>
      </c>
      <c r="F33" s="9">
        <v>79</v>
      </c>
      <c r="G33" s="9">
        <v>79.75</v>
      </c>
      <c r="H33" s="9">
        <v>80.5</v>
      </c>
      <c r="I33" s="9">
        <v>81.25</v>
      </c>
      <c r="J33" s="9">
        <v>82</v>
      </c>
      <c r="K33" s="9">
        <v>82.75</v>
      </c>
      <c r="L33" s="9">
        <v>83.5</v>
      </c>
      <c r="M33" s="9">
        <v>84.25</v>
      </c>
    </row>
    <row r="34" spans="1:13" ht="18.95" customHeight="1" x14ac:dyDescent="0.25">
      <c r="A34" s="5" t="s">
        <v>141</v>
      </c>
      <c r="B34" s="9">
        <v>590.05207134000011</v>
      </c>
      <c r="C34" s="9">
        <v>591.07675291315036</v>
      </c>
      <c r="D34" s="9">
        <v>591.96931928536014</v>
      </c>
      <c r="E34" s="9">
        <v>592.72954198622995</v>
      </c>
      <c r="F34" s="9">
        <v>593.35720416664037</v>
      </c>
      <c r="G34" s="9">
        <v>593.85210059875044</v>
      </c>
      <c r="H34" s="9">
        <v>594.21403767599998</v>
      </c>
      <c r="I34" s="9">
        <v>594.44283341311007</v>
      </c>
      <c r="J34" s="9">
        <v>594.53831744607999</v>
      </c>
      <c r="K34" s="9">
        <v>600.2812869209406</v>
      </c>
      <c r="L34" s="9">
        <v>600.0772723</v>
      </c>
      <c r="M34" s="9">
        <v>599.73943936809962</v>
      </c>
    </row>
    <row r="35" spans="1:13" ht="18.95" customHeight="1" x14ac:dyDescent="0.25">
      <c r="A35" s="5" t="s">
        <v>83</v>
      </c>
      <c r="B35" s="9">
        <v>45</v>
      </c>
      <c r="C35" s="9">
        <v>45</v>
      </c>
      <c r="D35" s="9">
        <v>45</v>
      </c>
      <c r="E35" s="9">
        <v>45</v>
      </c>
      <c r="F35" s="9">
        <v>45</v>
      </c>
      <c r="G35" s="9">
        <v>45</v>
      </c>
      <c r="H35" s="9">
        <v>45</v>
      </c>
      <c r="I35" s="9">
        <v>45</v>
      </c>
      <c r="J35" s="9">
        <v>45</v>
      </c>
      <c r="K35" s="9">
        <v>45</v>
      </c>
      <c r="L35" s="9">
        <v>45</v>
      </c>
      <c r="M35" s="9">
        <v>45</v>
      </c>
    </row>
    <row r="36" spans="1:13" ht="18.95" customHeight="1" x14ac:dyDescent="0.25">
      <c r="A36" s="5" t="s">
        <v>84</v>
      </c>
      <c r="B36" s="9">
        <v>545.05207134000011</v>
      </c>
      <c r="C36" s="9">
        <v>546.07675291315036</v>
      </c>
      <c r="D36" s="9">
        <v>546.96931928536014</v>
      </c>
      <c r="E36" s="9">
        <v>547.72954198622995</v>
      </c>
      <c r="F36" s="9">
        <v>548.35720416664037</v>
      </c>
      <c r="G36" s="9">
        <v>548.85210059875044</v>
      </c>
      <c r="H36" s="9">
        <v>549.21403767599998</v>
      </c>
      <c r="I36" s="9">
        <v>549.44283341311007</v>
      </c>
      <c r="J36" s="9">
        <v>549.53831744607999</v>
      </c>
      <c r="K36" s="9">
        <v>555.2812869209406</v>
      </c>
      <c r="L36" s="9">
        <v>555.0772723</v>
      </c>
      <c r="M36" s="9">
        <v>554.73943936809962</v>
      </c>
    </row>
    <row r="37" spans="1:13" ht="18.95" customHeight="1" x14ac:dyDescent="0.25">
      <c r="A37" s="5" t="s">
        <v>85</v>
      </c>
      <c r="B37" s="9">
        <v>109.01041426800003</v>
      </c>
      <c r="C37" s="9">
        <v>109.21535058263008</v>
      </c>
      <c r="D37" s="9">
        <v>109.39386385707203</v>
      </c>
      <c r="E37" s="9">
        <v>109.545908397246</v>
      </c>
      <c r="F37" s="9">
        <v>109.67144083332808</v>
      </c>
      <c r="G37" s="9">
        <v>109.7704201197501</v>
      </c>
      <c r="H37" s="9">
        <v>109.8428075352</v>
      </c>
      <c r="I37" s="9">
        <v>109.88856668262201</v>
      </c>
      <c r="J37" s="9">
        <v>109.90766348921601</v>
      </c>
      <c r="K37" s="9">
        <v>111.05625738418813</v>
      </c>
      <c r="L37" s="9">
        <v>111.01545446</v>
      </c>
      <c r="M37" s="9">
        <v>110.94788787361993</v>
      </c>
    </row>
    <row r="38" spans="1:13" ht="18.95" customHeight="1" x14ac:dyDescent="0.25">
      <c r="A38" s="34" t="s">
        <v>86</v>
      </c>
      <c r="B38" s="46">
        <v>436.04165707200008</v>
      </c>
      <c r="C38" s="46">
        <v>436.86140233052026</v>
      </c>
      <c r="D38" s="46">
        <v>437.57545542828814</v>
      </c>
      <c r="E38" s="46">
        <v>438.18363358898398</v>
      </c>
      <c r="F38" s="46">
        <v>438.68576333331231</v>
      </c>
      <c r="G38" s="46">
        <v>439.08168047900034</v>
      </c>
      <c r="H38" s="46">
        <v>439.37123014079998</v>
      </c>
      <c r="I38" s="46">
        <v>439.55426673048805</v>
      </c>
      <c r="J38" s="46">
        <v>439.63065395686397</v>
      </c>
      <c r="K38" s="46">
        <v>444.22502953675246</v>
      </c>
      <c r="L38" s="46">
        <v>444.06181784</v>
      </c>
      <c r="M38" s="46">
        <v>443.79155149447968</v>
      </c>
    </row>
    <row r="39" spans="1:13" ht="18.9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18.95" customHeight="1" x14ac:dyDescent="0.25">
      <c r="A40" s="5" t="s">
        <v>89</v>
      </c>
      <c r="B40" s="9">
        <v>3474.7399341666664</v>
      </c>
      <c r="C40" s="9">
        <v>3504.8274257500007</v>
      </c>
      <c r="D40" s="9">
        <v>3534.6663534000004</v>
      </c>
      <c r="E40" s="9">
        <v>3564.2536357166668</v>
      </c>
      <c r="F40" s="9">
        <v>3593.5861913000003</v>
      </c>
      <c r="G40" s="9">
        <v>3622.6609387500007</v>
      </c>
      <c r="H40" s="9">
        <v>3651.4747966666664</v>
      </c>
      <c r="I40" s="9">
        <v>3680.02468365</v>
      </c>
      <c r="J40" s="9">
        <v>3708.3075182999996</v>
      </c>
      <c r="K40" s="9">
        <v>3755.8072129666671</v>
      </c>
      <c r="L40" s="9">
        <v>3783.4992299999999</v>
      </c>
      <c r="M40" s="9">
        <v>3810.9144254999992</v>
      </c>
    </row>
    <row r="41" spans="1:13" ht="18.95" customHeight="1" x14ac:dyDescent="0.25">
      <c r="A41" s="5" t="s">
        <v>90</v>
      </c>
      <c r="B41" s="9">
        <v>2617.9683446849999</v>
      </c>
      <c r="C41" s="9">
        <v>2645.5939478457749</v>
      </c>
      <c r="D41" s="9">
        <v>2673.1166773755604</v>
      </c>
      <c r="E41" s="9">
        <v>2700.5331439643551</v>
      </c>
      <c r="F41" s="9">
        <v>2727.8399408702398</v>
      </c>
      <c r="G41" s="9">
        <v>2755.0336439193748</v>
      </c>
      <c r="H41" s="9">
        <v>2782.1108115060001</v>
      </c>
      <c r="I41" s="9">
        <v>2809.0679845924351</v>
      </c>
      <c r="J41" s="9">
        <v>2835.90168670908</v>
      </c>
      <c r="K41" s="9">
        <v>2877.5385234087894</v>
      </c>
      <c r="L41" s="9">
        <v>2904.1059089699997</v>
      </c>
      <c r="M41" s="9">
        <v>2930.5387515748498</v>
      </c>
    </row>
    <row r="42" spans="1:13" ht="18.95" customHeight="1" x14ac:dyDescent="0.25">
      <c r="A42" s="5" t="s">
        <v>91</v>
      </c>
      <c r="B42" s="9">
        <v>1745.3122297899999</v>
      </c>
      <c r="C42" s="9">
        <v>1763.7292985638501</v>
      </c>
      <c r="D42" s="9">
        <v>1782.0777849170402</v>
      </c>
      <c r="E42" s="9">
        <v>1800.3554293095701</v>
      </c>
      <c r="F42" s="9">
        <v>1818.5599605801599</v>
      </c>
      <c r="G42" s="9">
        <v>1836.6890959462498</v>
      </c>
      <c r="H42" s="9">
        <v>1854.7405410040001</v>
      </c>
      <c r="I42" s="9">
        <v>1872.7119897282901</v>
      </c>
      <c r="J42" s="9">
        <v>1890.6011244727199</v>
      </c>
      <c r="K42" s="9">
        <v>1918.3590156058597</v>
      </c>
      <c r="L42" s="9">
        <v>1936.0706059799998</v>
      </c>
      <c r="M42" s="9">
        <v>1953.6925010499001</v>
      </c>
    </row>
    <row r="43" spans="1:13" ht="18.95" customHeight="1" x14ac:dyDescent="0.25">
      <c r="A43" s="5" t="s">
        <v>92</v>
      </c>
      <c r="B43" s="9">
        <v>4347.3960490616664</v>
      </c>
      <c r="C43" s="9">
        <v>4386.6920750319259</v>
      </c>
      <c r="D43" s="9">
        <v>4425.7052458585213</v>
      </c>
      <c r="E43" s="9">
        <v>4464.431350371452</v>
      </c>
      <c r="F43" s="9">
        <v>4502.8661715900798</v>
      </c>
      <c r="G43" s="9">
        <v>4541.0054867231256</v>
      </c>
      <c r="H43" s="9">
        <v>4578.8450671686669</v>
      </c>
      <c r="I43" s="9">
        <v>4616.3806785141451</v>
      </c>
      <c r="J43" s="9">
        <v>4653.6080805363599</v>
      </c>
      <c r="K43" s="9">
        <v>4714.986720769597</v>
      </c>
      <c r="L43" s="9">
        <v>4751.5345329900001</v>
      </c>
      <c r="M43" s="9">
        <v>4787.7606760249491</v>
      </c>
    </row>
    <row r="44" spans="1:13" ht="18.95" customHeight="1" x14ac:dyDescent="0.25">
      <c r="A44" s="5" t="s">
        <v>93</v>
      </c>
      <c r="B44" s="9">
        <v>147.39604906166642</v>
      </c>
      <c r="C44" s="9">
        <v>39.296025970259507</v>
      </c>
      <c r="D44" s="9">
        <v>39.013170826595342</v>
      </c>
      <c r="E44" s="9">
        <v>38.72610451293076</v>
      </c>
      <c r="F44" s="9">
        <v>38.434821218627803</v>
      </c>
      <c r="G44" s="9">
        <v>38.139315133045784</v>
      </c>
      <c r="H44" s="9">
        <v>37.839580445541287</v>
      </c>
      <c r="I44" s="9">
        <v>37.535611345478173</v>
      </c>
      <c r="J44" s="9">
        <v>37.227402022214847</v>
      </c>
      <c r="K44" s="9">
        <v>61.378640233237093</v>
      </c>
      <c r="L44" s="9">
        <v>36.547812220403102</v>
      </c>
      <c r="M44" s="9">
        <v>36.226143034949018</v>
      </c>
    </row>
    <row r="45" spans="1:13" ht="18.95" customHeight="1" x14ac:dyDescent="0.25">
      <c r="A45" s="5" t="s">
        <v>58</v>
      </c>
      <c r="B45" s="9">
        <v>119.1339406</v>
      </c>
      <c r="C45" s="9">
        <v>120.16551174000003</v>
      </c>
      <c r="D45" s="9">
        <v>121.18856068800002</v>
      </c>
      <c r="E45" s="9">
        <v>122.202981796</v>
      </c>
      <c r="F45" s="9">
        <v>123.20866941600002</v>
      </c>
      <c r="G45" s="9">
        <v>124.20551790000002</v>
      </c>
      <c r="H45" s="9">
        <v>125.19342160000001</v>
      </c>
      <c r="I45" s="9">
        <v>126.172274868</v>
      </c>
      <c r="J45" s="9">
        <v>127.141972056</v>
      </c>
      <c r="K45" s="9">
        <v>128.770533016</v>
      </c>
      <c r="L45" s="9">
        <v>129.7199736</v>
      </c>
      <c r="M45" s="9">
        <v>130.65992315999998</v>
      </c>
    </row>
    <row r="46" spans="1:13" ht="18.95" customHeight="1" x14ac:dyDescent="0.25">
      <c r="A46" s="38" t="s">
        <v>94</v>
      </c>
      <c r="B46" s="39">
        <v>245.5116674103337</v>
      </c>
      <c r="C46" s="39">
        <v>354.1498646202607</v>
      </c>
      <c r="D46" s="39">
        <v>354.87372391369274</v>
      </c>
      <c r="E46" s="39">
        <v>355.5045472800532</v>
      </c>
      <c r="F46" s="39">
        <v>356.04227269868443</v>
      </c>
      <c r="G46" s="39">
        <v>356.4868474459546</v>
      </c>
      <c r="H46" s="39">
        <v>356.83822809525867</v>
      </c>
      <c r="I46" s="39">
        <v>357.09638051700989</v>
      </c>
      <c r="J46" s="39">
        <v>357.26127987864913</v>
      </c>
      <c r="K46" s="39">
        <v>336.82585628751536</v>
      </c>
      <c r="L46" s="39">
        <v>361.2940320195969</v>
      </c>
      <c r="M46" s="39">
        <v>361.15548529953071</v>
      </c>
    </row>
  </sheetData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E371-DC8B-44D7-B804-859447D24068}">
  <dimension ref="A1:M28"/>
  <sheetViews>
    <sheetView tabSelected="1" workbookViewId="0">
      <pane ySplit="3" topLeftCell="A4" activePane="bottomLeft" state="frozen"/>
      <selection pane="bottomLeft" activeCell="G12" sqref="G12"/>
    </sheetView>
  </sheetViews>
  <sheetFormatPr defaultRowHeight="15" x14ac:dyDescent="0.25"/>
  <cols>
    <col min="1" max="1" width="29.5703125" customWidth="1"/>
    <col min="2" max="5" width="17.5703125" customWidth="1"/>
    <col min="6" max="6" width="16.7109375" customWidth="1"/>
    <col min="7" max="13" width="13.7109375" customWidth="1"/>
  </cols>
  <sheetData>
    <row r="1" spans="1:13" s="12" customFormat="1" ht="32.1" customHeight="1" x14ac:dyDescent="0.35">
      <c r="A1" s="11" t="s">
        <v>142</v>
      </c>
      <c r="B1" s="11"/>
      <c r="C1" s="11"/>
      <c r="D1" s="11"/>
      <c r="E1" s="11"/>
      <c r="F1" s="11"/>
      <c r="G1" s="59"/>
      <c r="H1" s="59"/>
      <c r="I1" s="59"/>
      <c r="J1" s="59"/>
      <c r="K1" s="59"/>
      <c r="L1" s="59"/>
      <c r="M1" s="59"/>
    </row>
    <row r="2" spans="1:13" ht="18.9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8.95" customHeight="1" x14ac:dyDescent="0.25">
      <c r="A3" s="21" t="s">
        <v>62</v>
      </c>
      <c r="B3" s="21" t="s">
        <v>143</v>
      </c>
      <c r="C3" s="21" t="s">
        <v>144</v>
      </c>
      <c r="D3" s="21" t="s">
        <v>116</v>
      </c>
      <c r="E3" s="21" t="s">
        <v>117</v>
      </c>
      <c r="F3" s="21" t="s">
        <v>118</v>
      </c>
      <c r="G3" s="5"/>
      <c r="H3" s="5"/>
      <c r="I3" s="5"/>
      <c r="J3" s="5"/>
      <c r="K3" s="5"/>
      <c r="L3" s="5"/>
      <c r="M3" s="5"/>
    </row>
    <row r="4" spans="1:13" ht="18.95" customHeight="1" x14ac:dyDescent="0.25">
      <c r="A4" s="5" t="s">
        <v>77</v>
      </c>
      <c r="B4" s="9">
        <v>37444.082010999999</v>
      </c>
      <c r="C4" s="9">
        <v>37380.483339999992</v>
      </c>
      <c r="D4" s="9">
        <v>-63.598671000007016</v>
      </c>
      <c r="E4" s="6">
        <v>-1.6984972680415438E-3</v>
      </c>
      <c r="F4" s="68" t="inlineStr">
        <is>
          <t xml:space="preserve">Unfavourable</t>
        </is>
      </c>
      <c r="G4" s="5"/>
      <c r="H4" s="5"/>
      <c r="I4" s="5"/>
      <c r="J4" s="5"/>
      <c r="K4" s="5"/>
      <c r="L4" s="5"/>
      <c r="M4" s="5"/>
    </row>
    <row r="5" spans="1:13" ht="18.95" customHeight="1" x14ac:dyDescent="0.25">
      <c r="A5" s="5" t="s">
        <v>53</v>
      </c>
      <c r="B5" s="9">
        <v>22172.899576947642</v>
      </c>
      <c r="C5" s="9">
        <v>22249.824169683998</v>
      </c>
      <c r="D5" s="9">
        <v>76.924592736355407</v>
      </c>
      <c r="E5" s="6">
        <v>3.4693068657710023E-3</v>
      </c>
      <c r="F5" s="68" t="inlineStr">
        <is>
          <t xml:space="preserve">Unfavourable</t>
        </is>
      </c>
      <c r="G5" s="5"/>
      <c r="H5" s="5"/>
      <c r="I5" s="5"/>
      <c r="J5" s="5"/>
      <c r="K5" s="5"/>
      <c r="L5" s="5"/>
      <c r="M5" s="5"/>
    </row>
    <row r="6" spans="1:13" ht="18.95" customHeight="1" x14ac:dyDescent="0.25">
      <c r="A6" s="5" t="s">
        <v>78</v>
      </c>
      <c r="B6" s="9">
        <v>15271.182434052365</v>
      </c>
      <c r="C6" s="9">
        <v>15130.659170315994</v>
      </c>
      <c r="D6" s="9">
        <v>-140.52326373637152</v>
      </c>
      <c r="E6" s="6">
        <v>-9.2018587521439377E-3</v>
      </c>
      <c r="F6" s="68" t="inlineStr">
        <is>
          <t xml:space="preserve">Unfavourable</t>
        </is>
      </c>
      <c r="G6" s="5"/>
      <c r="H6" s="5"/>
      <c r="I6" s="5"/>
      <c r="J6" s="5"/>
      <c r="K6" s="5"/>
      <c r="L6" s="5"/>
      <c r="M6" s="5"/>
    </row>
    <row r="7" spans="1:13" ht="18.95" customHeight="1" x14ac:dyDescent="0.25">
      <c r="A7" s="5" t="s">
        <v>79</v>
      </c>
      <c r="B7" s="6">
        <v>0.40783968023481332</v>
      </c>
      <c r="C7" s="6">
        <v>0.40477430515525264</v>
      </c>
      <c r="D7" s="6">
        <v>-3.0653750795606727E-3</v>
      </c>
      <c r="E7" s="6">
        <v>-7.5161276063079145E-3</v>
      </c>
      <c r="F7" s="68" t="inlineStr">
        <is>
          <t xml:space="preserve">Unfavourable</t>
        </is>
      </c>
      <c r="G7" s="5"/>
      <c r="H7" s="5"/>
      <c r="I7" s="5"/>
      <c r="J7" s="5"/>
      <c r="K7" s="5"/>
      <c r="L7" s="5"/>
      <c r="M7" s="5"/>
    </row>
    <row r="8" spans="1:13" ht="18.95" customHeight="1" x14ac:dyDescent="0.25">
      <c r="A8" s="5" t="s">
        <v>54</v>
      </c>
      <c r="B8" s="9">
        <v>3093.5520000000001</v>
      </c>
      <c r="C8" s="9">
        <v>3124.8</v>
      </c>
      <c r="D8" s="9">
        <v>31.248000000000047</v>
      </c>
      <c r="E8" s="6">
        <v>1.0101010101010116E-2</v>
      </c>
      <c r="F8" s="68" t="inlineStr">
        <is>
          <t xml:space="preserve">Unfavourable</t>
        </is>
      </c>
      <c r="G8" s="5"/>
      <c r="H8" s="5"/>
      <c r="I8" s="5"/>
      <c r="J8" s="5"/>
      <c r="K8" s="5"/>
      <c r="L8" s="5"/>
      <c r="M8" s="5"/>
    </row>
    <row r="9" spans="1:13" ht="18.95" customHeight="1" x14ac:dyDescent="0.25">
      <c r="A9" s="5" t="s">
        <v>55</v>
      </c>
      <c r="B9" s="9">
        <v>2171.7567566380003</v>
      </c>
      <c r="C9" s="9">
        <v>2183.5783418400006</v>
      </c>
      <c r="D9" s="9">
        <v>11.821585202000279</v>
      </c>
      <c r="E9" s="6">
        <v>5.4433283865089697E-3</v>
      </c>
      <c r="F9" s="68" t="inlineStr">
        <is>
          <t xml:space="preserve">Unfavourable</t>
        </is>
      </c>
      <c r="G9" s="5"/>
      <c r="H9" s="5"/>
      <c r="I9" s="5"/>
      <c r="J9" s="5"/>
      <c r="K9" s="5"/>
      <c r="L9" s="5"/>
      <c r="M9" s="5"/>
    </row>
    <row r="10" spans="1:13" ht="18.95" customHeight="1" x14ac:dyDescent="0.25">
      <c r="A10" s="5" t="s">
        <v>56</v>
      </c>
      <c r="B10" s="9">
        <v>1908.0435000000002</v>
      </c>
      <c r="C10" s="9">
        <v>1937.1</v>
      </c>
      <c r="D10" s="9">
        <v>29.056499999999687</v>
      </c>
      <c r="E10" s="6">
        <v>1.522842639593892E-2</v>
      </c>
      <c r="F10" s="68" t="inlineStr">
        <is>
          <t xml:space="preserve">Unfavourable</t>
        </is>
      </c>
      <c r="G10" s="5"/>
      <c r="H10" s="5"/>
      <c r="I10" s="5"/>
      <c r="J10" s="5"/>
      <c r="K10" s="5"/>
      <c r="L10" s="5"/>
      <c r="M10" s="5"/>
    </row>
    <row r="11" spans="1:13" ht="18.95" customHeight="1" x14ac:dyDescent="0.25">
      <c r="A11" s="5" t="s">
        <v>80</v>
      </c>
      <c r="B11" s="9">
        <v>8097.830177414362</v>
      </c>
      <c r="C11" s="9">
        <v>7885.180828476</v>
      </c>
      <c r="D11" s="9">
        <v>-212.64934893836198</v>
      </c>
      <c r="E11" s="6">
        <v>-2.6260040563886082E-2</v>
      </c>
      <c r="F11" s="68" t="inlineStr">
        <is>
          <t xml:space="preserve">Unfavourable</t>
        </is>
      </c>
      <c r="G11" s="5"/>
      <c r="H11" s="5"/>
      <c r="I11" s="5"/>
      <c r="J11" s="5"/>
      <c r="K11" s="5"/>
      <c r="L11" s="5"/>
      <c r="M11" s="5"/>
    </row>
    <row r="12" spans="1:13" ht="18.95" customHeight="1" x14ac:dyDescent="0.25">
      <c r="A12" s="5" t="s">
        <v>81</v>
      </c>
      <c r="B12" s="6">
        <v>0.21626462026857679</v>
      </c>
      <c r="C12" s="6">
        <v>0.21094379001884789</v>
      </c>
      <c r="D12" s="6">
        <v>-5.3208302497289028E-3</v>
      </c>
      <c r="E12" s="6">
        <v>-2.4603331988010887E-2</v>
      </c>
      <c r="F12" s="68" t="inlineStr">
        <is>
          <t xml:space="preserve">Unfavourable</t>
        </is>
      </c>
      <c r="G12" s="5"/>
      <c r="H12" s="5"/>
      <c r="I12" s="5"/>
      <c r="J12" s="5"/>
      <c r="K12" s="5"/>
      <c r="L12" s="5"/>
      <c r="M12" s="5"/>
    </row>
    <row r="13" spans="1:13" ht="18.95" customHeight="1" x14ac:dyDescent="0.25">
      <c r="A13" s="5" t="s">
        <v>86</v>
      </c>
      <c r="B13" s="9">
        <v>5277.0641419314888</v>
      </c>
      <c r="C13" s="9">
        <v>5106.9446627808002</v>
      </c>
      <c r="D13" s="9">
        <v>-170.11947915068868</v>
      </c>
      <c r="E13" s="6">
        <v>-3.2237523474259358E-2</v>
      </c>
      <c r="F13" s="68" t="inlineStr">
        <is>
          <t xml:space="preserve">Unfavourable</t>
        </is>
      </c>
      <c r="G13" s="5"/>
      <c r="H13" s="5"/>
      <c r="I13" s="5"/>
      <c r="J13" s="5"/>
      <c r="K13" s="5"/>
      <c r="L13" s="5"/>
      <c r="M13" s="5"/>
    </row>
    <row r="14" spans="1:13" ht="18.95" customHeight="1" x14ac:dyDescent="0.25">
      <c r="A14" s="5" t="s">
        <v>58</v>
      </c>
      <c r="B14" s="9">
        <v>1497.7632804400002</v>
      </c>
      <c r="C14" s="9">
        <v>1548.6</v>
      </c>
      <c r="D14" s="9">
        <v>50.836719559999665</v>
      </c>
      <c r="E14" s="6">
        <v>3.394175850343005E-2</v>
      </c>
      <c r="F14" s="68" t="inlineStr">
        <is>
          <t xml:space="preserve">Unfavourable</t>
        </is>
      </c>
      <c r="G14" s="5"/>
      <c r="H14" s="5"/>
      <c r="I14" s="5"/>
      <c r="J14" s="5"/>
      <c r="K14" s="5"/>
      <c r="L14" s="5"/>
      <c r="M14" s="5"/>
    </row>
    <row r="15" spans="1:13" ht="18.95" customHeight="1" x14ac:dyDescent="0.25">
      <c r="A15" s="5" t="s">
        <v>94</v>
      </c>
      <c r="B15" s="9">
        <v>4153.0401854665397</v>
      </c>
      <c r="C15" s="9">
        <v>3804.2955108388019</v>
      </c>
      <c r="D15" s="9">
        <v>-348.74467462773782</v>
      </c>
      <c r="E15" s="6">
        <v>-8.3973344599014746E-2</v>
      </c>
      <c r="F15" s="68" t="inlineStr">
        <is>
          <t xml:space="preserve">Unfavourable</t>
        </is>
      </c>
      <c r="G15" s="5"/>
      <c r="H15" s="5"/>
      <c r="I15" s="5"/>
      <c r="J15" s="5"/>
      <c r="K15" s="5"/>
      <c r="L15" s="5"/>
      <c r="M15" s="5"/>
    </row>
    <row r="16" spans="1:13" ht="18.9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18.9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8.95" customHeight="1" x14ac:dyDescent="0.25">
      <c r="A18" s="10" t="s">
        <v>145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18.95" customHeight="1" x14ac:dyDescent="0.25">
      <c r="A19" s="34" t="s">
        <v>62</v>
      </c>
      <c r="B19" s="66">
        <v>46053</v>
      </c>
      <c r="C19" s="66">
        <v>46081</v>
      </c>
      <c r="D19" s="66">
        <v>46112</v>
      </c>
      <c r="E19" s="66">
        <v>46142</v>
      </c>
      <c r="F19" s="66">
        <v>46173</v>
      </c>
      <c r="G19" s="66">
        <v>46203</v>
      </c>
      <c r="H19" s="66">
        <v>46234</v>
      </c>
      <c r="I19" s="66">
        <v>46265</v>
      </c>
      <c r="J19" s="66">
        <v>46295</v>
      </c>
      <c r="K19" s="66">
        <v>46326</v>
      </c>
      <c r="L19" s="66">
        <v>46356</v>
      </c>
      <c r="M19" s="66">
        <v>46387</v>
      </c>
    </row>
    <row r="20" spans="1:13" ht="18.95" customHeight="1" x14ac:dyDescent="0.25">
      <c r="A20" s="5" t="s">
        <v>109</v>
      </c>
      <c r="B20" s="9">
        <v>2978.3485150000001</v>
      </c>
      <c r="C20" s="9">
        <v>3004.1377935000005</v>
      </c>
      <c r="D20" s="9">
        <v>3029.7140172000004</v>
      </c>
      <c r="E20" s="9">
        <v>3055.0745449000001</v>
      </c>
      <c r="F20" s="9">
        <v>3080.2167354000003</v>
      </c>
      <c r="G20" s="9">
        <v>3105.1379475000003</v>
      </c>
      <c r="H20" s="9">
        <v>3129.83554</v>
      </c>
      <c r="I20" s="9">
        <v>3154.3068717000001</v>
      </c>
      <c r="J20" s="9">
        <v>3178.5493013999999</v>
      </c>
      <c r="K20" s="9">
        <v>3219.2633254000002</v>
      </c>
      <c r="L20" s="9">
        <v>3242.9993399999998</v>
      </c>
      <c r="M20" s="9">
        <v>3266.4980789999995</v>
      </c>
    </row>
    <row r="21" spans="1:13" ht="18.95" customHeight="1" x14ac:dyDescent="0.25">
      <c r="A21" s="5" t="s">
        <v>130</v>
      </c>
      <c r="B21" s="9">
        <v>2891.6005</v>
      </c>
      <c r="C21" s="9">
        <v>2930.8661400000001</v>
      </c>
      <c r="D21" s="9">
        <v>2970.3078600000003</v>
      </c>
      <c r="E21" s="9">
        <v>3009.9256599999999</v>
      </c>
      <c r="F21" s="9">
        <v>3049.7195400000001</v>
      </c>
      <c r="G21" s="9">
        <v>3089.6895</v>
      </c>
      <c r="H21" s="9">
        <v>3129.83554</v>
      </c>
      <c r="I21" s="9">
        <v>3170.1576600000003</v>
      </c>
      <c r="J21" s="9">
        <v>3210.6558599999998</v>
      </c>
      <c r="K21" s="9">
        <v>3268.2876400000005</v>
      </c>
      <c r="L21" s="9">
        <v>3309.183</v>
      </c>
      <c r="M21" s="9">
        <v>3350.2544399999997</v>
      </c>
    </row>
    <row r="22" spans="1:13" ht="18.95" customHeight="1" x14ac:dyDescent="0.25">
      <c r="A22" s="5" t="s">
        <v>131</v>
      </c>
      <c r="B22" s="9">
        <v>-86.748015000000123</v>
      </c>
      <c r="C22" s="9">
        <v>-73.271653500000411</v>
      </c>
      <c r="D22" s="9">
        <v>-59.406157200000052</v>
      </c>
      <c r="E22" s="9">
        <v>-45.148884900000212</v>
      </c>
      <c r="F22" s="9">
        <v>-30.497195400000237</v>
      </c>
      <c r="G22" s="9">
        <v>-15.448447500000384</v>
      </c>
      <c r="H22" s="9">
        <v>0</v>
      </c>
      <c r="I22" s="9">
        <v>15.850788300000204</v>
      </c>
      <c r="J22" s="9">
        <v>32.106558599999971</v>
      </c>
      <c r="K22" s="9">
        <v>49.024314600000253</v>
      </c>
      <c r="L22" s="9">
        <v>66.183660000000145</v>
      </c>
      <c r="M22" s="9">
        <v>83.756361000000197</v>
      </c>
    </row>
    <row r="23" spans="1:13" ht="18.95" customHeight="1" x14ac:dyDescent="0.25">
      <c r="A23" s="5" t="s">
        <v>121</v>
      </c>
      <c r="B23" s="9">
        <v>666.05207134000011</v>
      </c>
      <c r="C23" s="9">
        <v>667.82675291315036</v>
      </c>
      <c r="D23" s="9">
        <v>669.46931928536014</v>
      </c>
      <c r="E23" s="9">
        <v>670.97954198622995</v>
      </c>
      <c r="F23" s="9">
        <v>672.35720416664037</v>
      </c>
      <c r="G23" s="9">
        <v>673.60210059875044</v>
      </c>
      <c r="H23" s="9">
        <v>674.71403767599998</v>
      </c>
      <c r="I23" s="9">
        <v>675.69283341311007</v>
      </c>
      <c r="J23" s="9">
        <v>676.53831744607999</v>
      </c>
      <c r="K23" s="9">
        <v>683.0312869209406</v>
      </c>
      <c r="L23" s="9">
        <v>683.5772723</v>
      </c>
      <c r="M23" s="9">
        <v>683.98943936809962</v>
      </c>
    </row>
    <row r="24" spans="1:13" ht="18.95" customHeight="1" x14ac:dyDescent="0.25">
      <c r="A24" s="5" t="s">
        <v>146</v>
      </c>
      <c r="B24" s="9">
        <v>624.62657700000022</v>
      </c>
      <c r="C24" s="9">
        <v>630.41994427100008</v>
      </c>
      <c r="D24" s="9">
        <v>636.16915121800025</v>
      </c>
      <c r="E24" s="9">
        <v>641.87348471699988</v>
      </c>
      <c r="F24" s="9">
        <v>647.53223164400026</v>
      </c>
      <c r="G24" s="9">
        <v>653.14467887500018</v>
      </c>
      <c r="H24" s="9">
        <v>658.71011328599991</v>
      </c>
      <c r="I24" s="9">
        <v>664.22782175299994</v>
      </c>
      <c r="J24" s="9">
        <v>669.69709115199998</v>
      </c>
      <c r="K24" s="9">
        <v>680.91412973400065</v>
      </c>
      <c r="L24" s="9">
        <v>686.27681150000012</v>
      </c>
      <c r="M24" s="9">
        <v>691.5887933259994</v>
      </c>
    </row>
    <row r="25" spans="1:13" ht="18.95" customHeight="1" x14ac:dyDescent="0.25">
      <c r="A25" s="5" t="s">
        <v>147</v>
      </c>
      <c r="B25" s="9">
        <v>-41.425494339999887</v>
      </c>
      <c r="C25" s="9">
        <v>-37.406808642150281</v>
      </c>
      <c r="D25" s="9">
        <v>-33.300168067359891</v>
      </c>
      <c r="E25" s="9">
        <v>-29.106057269230064</v>
      </c>
      <c r="F25" s="9">
        <v>-24.82497252264011</v>
      </c>
      <c r="G25" s="9">
        <v>-20.457421723750258</v>
      </c>
      <c r="H25" s="9">
        <v>-16.003924390000066</v>
      </c>
      <c r="I25" s="9">
        <v>-11.465011660110122</v>
      </c>
      <c r="J25" s="9">
        <v>-6.8412262940800019</v>
      </c>
      <c r="K25" s="9">
        <v>-2.1171571869399486</v>
      </c>
      <c r="L25" s="9">
        <v>2.6995392000001175</v>
      </c>
      <c r="M25" s="9">
        <v>7.5993539578997797</v>
      </c>
    </row>
    <row r="26" spans="1:13" ht="18.95" customHeight="1" x14ac:dyDescent="0.25">
      <c r="A26" s="5" t="s">
        <v>123</v>
      </c>
      <c r="B26" s="9">
        <v>245.5116674103337</v>
      </c>
      <c r="C26" s="9">
        <v>354.1498646202607</v>
      </c>
      <c r="D26" s="9">
        <v>354.87372391369274</v>
      </c>
      <c r="E26" s="9">
        <v>355.5045472800532</v>
      </c>
      <c r="F26" s="9">
        <v>356.04227269868443</v>
      </c>
      <c r="G26" s="9">
        <v>356.4868474459546</v>
      </c>
      <c r="H26" s="9">
        <v>356.83822809525867</v>
      </c>
      <c r="I26" s="9">
        <v>357.09638051700989</v>
      </c>
      <c r="J26" s="9">
        <v>357.26127987864913</v>
      </c>
      <c r="K26" s="9">
        <v>336.82585628751536</v>
      </c>
      <c r="L26" s="9">
        <v>361.2940320195969</v>
      </c>
      <c r="M26" s="9">
        <v>361.15548529953071</v>
      </c>
    </row>
    <row r="27" spans="1:13" ht="18.95" customHeight="1" x14ac:dyDescent="0.25">
      <c r="A27" s="5" t="s">
        <v>148</v>
      </c>
      <c r="B27" s="9">
        <v>341.79099768333367</v>
      </c>
      <c r="C27" s="9">
        <v>309.60033472646683</v>
      </c>
      <c r="D27" s="9">
        <v>310.94903216539893</v>
      </c>
      <c r="E27" s="9">
        <v>312.26154031393361</v>
      </c>
      <c r="F27" s="9">
        <v>313.53728867286816</v>
      </c>
      <c r="G27" s="9">
        <v>314.77570674299898</v>
      </c>
      <c r="H27" s="9">
        <v>315.97622402513434</v>
      </c>
      <c r="I27" s="9">
        <v>317.1382700200657</v>
      </c>
      <c r="J27" s="9">
        <v>318.26127422860083</v>
      </c>
      <c r="K27" s="9">
        <v>299.1205298765326</v>
      </c>
      <c r="L27" s="9">
        <v>324.94402966466782</v>
      </c>
      <c r="M27" s="9">
        <v>325.94028271879995</v>
      </c>
    </row>
    <row r="28" spans="1:13" ht="18.95" customHeight="1" x14ac:dyDescent="0.25">
      <c r="A28" s="5" t="s">
        <v>149</v>
      </c>
      <c r="B28" s="9">
        <v>96.279330272999971</v>
      </c>
      <c r="C28" s="9">
        <v>-44.549529893793874</v>
      </c>
      <c r="D28" s="9">
        <v>-43.92469174829381</v>
      </c>
      <c r="E28" s="9">
        <v>-43.243006966119594</v>
      </c>
      <c r="F28" s="9">
        <v>-42.50498402581627</v>
      </c>
      <c r="G28" s="9">
        <v>-41.711140702955618</v>
      </c>
      <c r="H28" s="9">
        <v>-40.862004070124328</v>
      </c>
      <c r="I28" s="9">
        <v>-39.958110496944187</v>
      </c>
      <c r="J28" s="9">
        <v>-39.000005650048308</v>
      </c>
      <c r="K28" s="9">
        <v>-37.705326410982764</v>
      </c>
      <c r="L28" s="9">
        <v>-36.350002354929074</v>
      </c>
      <c r="M28" s="9">
        <v>-35.215202580730761</v>
      </c>
    </row>
  </sheetData>
  <mergeCells count="2">
    <mergeCell ref="A1:F1"/>
    <mergeCell ref="A18:M18"/>
  </mergeCells>
  <conditionalFormatting sqref="D4:D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{ABBD9862-1A45-4AC6-BE72-00C07725B507}</x14:id>
        </ext>
      </extLst>
    </cfRule>
  </conditionalFormatting>
  <conditionalFormatting sqref="B22:M22">
    <cfRule type="colorScale" priority="2">
      <colorScale>
        <cfvo type="min"/>
        <cfvo type="num" val="0"/>
        <cfvo type="max"/>
        <color rgb="FFF8D7DA"/>
        <color rgb="FFFFF2CC"/>
        <color rgb="FFDDEFE8"/>
      </colorScale>
    </cfRule>
  </conditionalFormatting>
  <conditionalFormatting sqref="B25:M25">
    <cfRule type="colorScale" priority="3">
      <colorScale>
        <cfvo type="min"/>
        <cfvo type="num" val="0"/>
        <cfvo type="max"/>
        <color rgb="FFF8D7DA"/>
        <color rgb="FFFFF2CC"/>
        <color rgb="FFDDEFE8"/>
      </colorScale>
    </cfRule>
  </conditionalFormatting>
  <conditionalFormatting sqref="B28:M28">
    <cfRule type="colorScale" priority="4">
      <colorScale>
        <cfvo type="min"/>
        <cfvo type="num" val="0"/>
        <cfvo type="max"/>
        <color rgb="FFF8D7DA"/>
        <color rgb="FFFFF2CC"/>
        <color rgb="FFDDEFE8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BD9862-1A45-4AC6-BE72-00C07725B507}">
            <x14:dataBar minLength="0" maxLength="100" negativeBarColorSameAsPositive="1" axisPosition="none">
              <x14:cfvo type="min"/>
              <x14:cfvo type="max"/>
            </x14:dataBar>
          </x14:cfRule>
          <xm:sqref>D4:D15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Assumptions</vt:lpstr>
      <vt:lpstr>Inputs</vt:lpstr>
      <vt:lpstr>Revenue</vt:lpstr>
      <vt:lpstr>P&amp;L</vt:lpstr>
      <vt:lpstr>Cash Flow</vt:lpstr>
      <vt:lpstr>Chart Data</vt:lpstr>
      <vt:lpstr>Budget FY2027</vt:lpstr>
      <vt:lpstr>Variance FY2027</vt:lpstr>
      <vt:lpstr>Budget Dashboard</vt:lpstr>
      <vt:lpstr>Budget FY2026</vt:lpstr>
      <vt:lpstr>Variance FY2026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hoang</dc:creator>
  <cp:lastModifiedBy>quan hoang</cp:lastModifiedBy>
  <dcterms:created xsi:type="dcterms:W3CDTF">2026-10-04T17:05:43Z</dcterms:created>
  <dcterms:modified xsi:type="dcterms:W3CDTF">2026-10-05T02:40:15Z</dcterms:modified>
</cp:coreProperties>
</file>